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前提条件" sheetId="1" state="visible" r:id="rId3"/>
    <sheet name="1_ヒアリングシート" sheetId="2" state="visible" r:id="rId4"/>
    <sheet name="2_所得税住民税" sheetId="3" state="visible" r:id="rId5"/>
    <sheet name="3_iDeCo" sheetId="4" state="visible" r:id="rId6"/>
    <sheet name="4_退職金" sheetId="5" state="visible" r:id="rId7"/>
    <sheet name="5_ふるさと納税" sheetId="6" state="visible" r:id="rId8"/>
    <sheet name="6_NISA取崩し" sheetId="7" state="visible" r:id="rId9"/>
    <sheet name="7_サマリー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<sst xmlns="http://schemas.openxmlformats.org/spreadsheetml/2006/main" count="221" uniqueCount="201">
  <si>
    <r>
      <rPr>
        <b val="true"/>
        <sz val="14"/>
        <color rgb="FFFFFFFF"/>
        <rFont val="Arial"/>
        <family val="0"/>
        <charset val="1"/>
      </rPr>
      <t xml:space="preserve">  FP</t>
    </r>
    <r>
      <rPr>
        <b val="true"/>
        <sz val="14"/>
        <color rgb="FFFFFFFF"/>
        <rFont val="DejaVu Sans"/>
        <family val="2"/>
      </rPr>
      <t xml:space="preserve">顧客ヒアリング兼シミュレーター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試作版</t>
    </r>
    <r>
      <rPr>
        <b val="true"/>
        <sz val="14"/>
        <color rgb="FFFFFFFF"/>
        <rFont val="Arial"/>
        <family val="0"/>
        <charset val="1"/>
      </rPr>
      <t xml:space="preserve">) — </t>
    </r>
    <r>
      <rPr>
        <b val="true"/>
        <sz val="14"/>
        <color rgb="FFFFFFFF"/>
        <rFont val="DejaVu Sans"/>
        <family val="2"/>
      </rPr>
      <t xml:space="preserve">前提条件・取扱説明</t>
    </r>
  </si>
  <si>
    <t xml:space="preserve">■ 本ツールの目的</t>
  </si>
  <si>
    <t xml:space="preserve">利用者</t>
  </si>
  <si>
    <r>
      <rPr>
        <sz val="11"/>
        <color theme="1"/>
        <rFont val="DejaVu Sans"/>
        <family val="2"/>
      </rPr>
      <t xml:space="preserve">ファイナンシャルプランナー</t>
    </r>
    <r>
      <rPr>
        <sz val="11"/>
        <color theme="1"/>
        <rFont val="Calibri"/>
        <family val="2"/>
        <charset val="1"/>
      </rPr>
      <t xml:space="preserve">(FP)</t>
    </r>
  </si>
  <si>
    <t xml:space="preserve">用途</t>
  </si>
  <si>
    <r>
      <rPr>
        <sz val="11"/>
        <color theme="1"/>
        <rFont val="DejaVu Sans"/>
        <family val="2"/>
      </rPr>
      <t xml:space="preserve">顧客ヒアリング → 所得税・住民税・国保・</t>
    </r>
    <r>
      <rPr>
        <sz val="11"/>
        <color theme="1"/>
        <rFont val="Calibri"/>
        <family val="2"/>
        <charset val="1"/>
      </rPr>
      <t xml:space="preserve">iDeCo</t>
    </r>
    <r>
      <rPr>
        <sz val="11"/>
        <color theme="1"/>
        <rFont val="DejaVu Sans"/>
        <family val="2"/>
      </rPr>
      <t xml:space="preserve">・退職金・ふるさと納税・</t>
    </r>
    <r>
      <rPr>
        <sz val="11"/>
        <color theme="1"/>
        <rFont val="Calibri"/>
        <family val="2"/>
        <charset val="1"/>
      </rPr>
      <t xml:space="preserve">NISA</t>
    </r>
    <r>
      <rPr>
        <sz val="11"/>
        <color theme="1"/>
        <rFont val="DejaVu Sans"/>
        <family val="2"/>
      </rPr>
      <t xml:space="preserve">取り崩しの試算を一括で行う</t>
    </r>
  </si>
  <si>
    <t xml:space="preserve">対象顧客</t>
  </si>
  <si>
    <r>
      <rPr>
        <sz val="11"/>
        <color theme="1"/>
        <rFont val="DejaVu Sans"/>
        <family val="2"/>
      </rPr>
      <t xml:space="preserve">自営業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号被保険者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DejaVu Sans"/>
        <family val="2"/>
      </rPr>
      <t xml:space="preserve">会社員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号被保険者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両対応</t>
    </r>
  </si>
  <si>
    <t xml:space="preserve">入力方法</t>
  </si>
  <si>
    <r>
      <rPr>
        <sz val="11"/>
        <color theme="1"/>
        <rFont val="DejaVu Sans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DejaVu Sans"/>
        <family val="2"/>
      </rPr>
      <t xml:space="preserve">ヒアリングシート」の青文字セル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黄色背景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要確認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に入力するだけで全シートが自動再計算</t>
    </r>
  </si>
  <si>
    <r>
      <rPr>
        <b val="true"/>
        <sz val="11"/>
        <color rgb="FFFFFFFF"/>
        <rFont val="DejaVu Sans"/>
        <family val="2"/>
      </rPr>
      <t xml:space="preserve">■ 試作の前提条件</t>
    </r>
    <r>
      <rPr>
        <b val="true"/>
        <sz val="11"/>
        <color rgb="FFFFFFFF"/>
        <rFont val="Arial"/>
        <family val="0"/>
        <charset val="1"/>
      </rPr>
      <t xml:space="preserve">(2026</t>
    </r>
    <r>
      <rPr>
        <b val="true"/>
        <sz val="11"/>
        <color rgb="FFFFFFFF"/>
        <rFont val="DejaVu Sans"/>
        <family val="2"/>
      </rPr>
      <t xml:space="preserve">年度ベース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</si>
  <si>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税制基準年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</si>
  <si>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DejaVu Sans"/>
        <family val="2"/>
      </rPr>
      <t xml:space="preserve">年度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令和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年度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を想定</t>
    </r>
  </si>
  <si>
    <t xml:space="preserve">所得税</t>
  </si>
  <si>
    <r>
      <rPr>
        <sz val="11"/>
        <color theme="1"/>
        <rFont val="DejaVu Sans"/>
        <family val="2"/>
      </rPr>
      <t xml:space="preserve">国税庁の超過累進税率</t>
    </r>
    <r>
      <rPr>
        <sz val="11"/>
        <color theme="1"/>
        <rFont val="Calibri"/>
        <family val="2"/>
        <charset val="1"/>
      </rPr>
      <t xml:space="preserve">(5%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45%)</t>
    </r>
    <r>
      <rPr>
        <sz val="11"/>
        <color theme="1"/>
        <rFont val="DejaVu Sans"/>
        <family val="2"/>
      </rPr>
      <t xml:space="preserve">を使用。復興特別所得税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DejaVu Sans"/>
        <family val="2"/>
      </rPr>
      <t xml:space="preserve">を上乗せ</t>
    </r>
  </si>
  <si>
    <t xml:space="preserve">住民税</t>
  </si>
  <si>
    <r>
      <rPr>
        <sz val="11"/>
        <color theme="1"/>
        <rFont val="DejaVu Sans"/>
        <family val="2"/>
      </rPr>
      <t xml:space="preserve">一律</t>
    </r>
    <r>
      <rPr>
        <sz val="11"/>
        <color theme="1"/>
        <rFont val="Calibri"/>
        <family val="2"/>
        <charset val="1"/>
      </rPr>
      <t xml:space="preserve">10%(</t>
    </r>
    <r>
      <rPr>
        <sz val="11"/>
        <color theme="1"/>
        <rFont val="DejaVu Sans"/>
        <family val="2"/>
      </rPr>
      <t xml:space="preserve">都道府県民税</t>
    </r>
    <r>
      <rPr>
        <sz val="11"/>
        <color theme="1"/>
        <rFont val="Calibri"/>
        <family val="2"/>
        <charset val="1"/>
      </rPr>
      <t xml:space="preserve">4%+</t>
    </r>
    <r>
      <rPr>
        <sz val="11"/>
        <color theme="1"/>
        <rFont val="DejaVu Sans"/>
        <family val="2"/>
      </rPr>
      <t xml:space="preserve">市町村民税</t>
    </r>
    <r>
      <rPr>
        <sz val="11"/>
        <color theme="1"/>
        <rFont val="Calibri"/>
        <family val="2"/>
        <charset val="1"/>
      </rPr>
      <t xml:space="preserve">6%)+</t>
    </r>
    <r>
      <rPr>
        <sz val="11"/>
        <color theme="1"/>
        <rFont val="DejaVu Sans"/>
        <family val="2"/>
      </rPr>
      <t xml:space="preserve">均等割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DejaVu Sans"/>
        <family val="2"/>
      </rPr>
      <t xml:space="preserve">円。東京都標準を採用</t>
    </r>
  </si>
  <si>
    <t xml:space="preserve">基礎控除</t>
  </si>
  <si>
    <r>
      <rPr>
        <sz val="11"/>
        <color theme="1"/>
        <rFont val="DejaVu Sans"/>
        <family val="2"/>
      </rPr>
      <t xml:space="preserve">所得税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DejaVu Sans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住民税</t>
    </r>
    <r>
      <rPr>
        <sz val="11"/>
        <color theme="1"/>
        <rFont val="Calibri"/>
        <family val="2"/>
        <charset val="1"/>
      </rPr>
      <t xml:space="preserve">43</t>
    </r>
    <r>
      <rPr>
        <sz val="11"/>
        <color theme="1"/>
        <rFont val="DejaVu Sans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合計所得</t>
    </r>
    <r>
      <rPr>
        <sz val="11"/>
        <color theme="1"/>
        <rFont val="Calibri"/>
        <family val="2"/>
        <charset val="1"/>
      </rPr>
      <t xml:space="preserve">2,400</t>
    </r>
    <r>
      <rPr>
        <sz val="11"/>
        <color theme="1"/>
        <rFont val="DejaVu Sans"/>
        <family val="2"/>
      </rPr>
      <t xml:space="preserve">万円以下を想定</t>
    </r>
    <r>
      <rPr>
        <sz val="11"/>
        <color theme="1"/>
        <rFont val="Calibri"/>
        <family val="2"/>
        <charset val="1"/>
      </rPr>
      <t xml:space="preserve">)</t>
    </r>
  </si>
  <si>
    <t xml:space="preserve">給与所得控除</t>
  </si>
  <si>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DejaVu Sans"/>
        <family val="2"/>
      </rPr>
      <t xml:space="preserve">年改正後の式を使用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会社員のみ</t>
    </r>
    <r>
      <rPr>
        <sz val="11"/>
        <color theme="1"/>
        <rFont val="Calibri"/>
        <family val="2"/>
        <charset val="1"/>
      </rPr>
      <t xml:space="preserve">)</t>
    </r>
  </si>
  <si>
    <t xml:space="preserve">青色申告特別控除</t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</si>
  <si>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DejaVu Sans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電子申告前提・自営業のみ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</si>
  <si>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社会保険料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自営業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</si>
  <si>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国民年金 月額</t>
    </r>
    <r>
      <rPr>
        <sz val="11"/>
        <color theme="1"/>
        <rFont val="Calibri"/>
        <family val="2"/>
        <charset val="1"/>
      </rPr>
      <t xml:space="preserve">17,510</t>
    </r>
    <r>
      <rPr>
        <sz val="11"/>
        <color theme="1"/>
        <rFont val="DejaVu Sans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×12/</t>
    </r>
    <r>
      <rPr>
        <sz val="11"/>
        <color theme="1"/>
        <rFont val="DejaVu Sans"/>
        <family val="2"/>
      </rPr>
      <t xml:space="preserve">国民健康保険は東京都標準率で簡易計算</t>
    </r>
  </si>
  <si>
    <r>
      <rPr>
        <b val="true"/>
        <sz val="11"/>
        <rFont val="DejaVu Sans"/>
        <family val="2"/>
      </rPr>
      <t xml:space="preserve">社会保険料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会社員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</si>
  <si>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額面の約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DejaVu Sans"/>
        <family val="2"/>
      </rPr>
      <t xml:space="preserve">で簡易計算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健保・厚生年金・雇用保険合算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</si>
  <si>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iDeCo</t>
    </r>
    <r>
      <rPr>
        <b val="true"/>
        <sz val="11"/>
        <rFont val="DejaVu Sans"/>
        <family val="2"/>
      </rPr>
      <t xml:space="preserve">上限</t>
    </r>
  </si>
  <si>
    <r>
      <rPr>
        <sz val="11"/>
        <color theme="1"/>
        <rFont val="DejaVu Sans"/>
        <family val="2"/>
      </rPr>
      <t xml:space="preserve">自営業</t>
    </r>
    <r>
      <rPr>
        <sz val="11"/>
        <color theme="1"/>
        <rFont val="Calibri"/>
        <family val="2"/>
        <charset val="1"/>
      </rPr>
      <t xml:space="preserve">68,000</t>
    </r>
    <r>
      <rPr>
        <sz val="11"/>
        <color theme="1"/>
        <rFont val="DejaVu Sans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月、会社員</t>
    </r>
    <r>
      <rPr>
        <sz val="11"/>
        <color theme="1"/>
        <rFont val="Calibri"/>
        <family val="2"/>
        <charset val="1"/>
      </rPr>
      <t xml:space="preserve">23,000</t>
    </r>
    <r>
      <rPr>
        <sz val="11"/>
        <color theme="1"/>
        <rFont val="DejaVu Sans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企業年金なし想定</t>
    </r>
    <r>
      <rPr>
        <sz val="11"/>
        <color theme="1"/>
        <rFont val="Calibri"/>
        <family val="2"/>
        <charset val="1"/>
      </rPr>
      <t xml:space="preserve">)</t>
    </r>
  </si>
  <si>
    <t xml:space="preserve">退職所得控除</t>
  </si>
  <si>
    <r>
      <rPr>
        <sz val="11"/>
        <color theme="1"/>
        <rFont val="DejaVu Sans"/>
        <family val="2"/>
      </rPr>
      <t xml:space="preserve">勤続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年まで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DejaVu Sans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年超は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DejaVu Sans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年</t>
    </r>
  </si>
  <si>
    <t xml:space="preserve">ふるさと納税</t>
  </si>
  <si>
    <r>
      <rPr>
        <sz val="11"/>
        <color theme="1"/>
        <rFont val="DejaVu Sans"/>
        <family val="2"/>
      </rPr>
      <t xml:space="preserve">総務省の簡易計算式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住民税所得割</t>
    </r>
    <r>
      <rPr>
        <sz val="11"/>
        <color theme="1"/>
        <rFont val="Calibri"/>
        <family val="2"/>
        <charset val="1"/>
      </rPr>
      <t xml:space="preserve">×20% / (90% - </t>
    </r>
    <r>
      <rPr>
        <sz val="11"/>
        <color theme="1"/>
        <rFont val="DejaVu Sans"/>
        <family val="2"/>
      </rPr>
      <t xml:space="preserve">所得税率</t>
    </r>
    <r>
      <rPr>
        <sz val="11"/>
        <color theme="1"/>
        <rFont val="Calibri"/>
        <family val="2"/>
        <charset val="1"/>
      </rPr>
      <t xml:space="preserve">×1.021)) + 2,000</t>
    </r>
    <r>
      <rPr>
        <sz val="11"/>
        <color theme="1"/>
        <rFont val="DejaVu Sans"/>
        <family val="2"/>
      </rPr>
      <t xml:space="preserve">円</t>
    </r>
  </si>
  <si>
    <t xml:space="preserve">NISA</t>
  </si>
  <si>
    <r>
      <rPr>
        <sz val="11"/>
        <color theme="1"/>
        <rFont val="DejaVu Sans"/>
        <family val="2"/>
      </rPr>
      <t xml:space="preserve">新</t>
    </r>
    <r>
      <rPr>
        <sz val="11"/>
        <color theme="1"/>
        <rFont val="Calibri"/>
        <family val="2"/>
        <charset val="1"/>
      </rPr>
      <t xml:space="preserve">NISA(2024</t>
    </r>
    <r>
      <rPr>
        <sz val="11"/>
        <color theme="1"/>
        <rFont val="DejaVu Sans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DejaVu Sans"/>
        <family val="2"/>
      </rPr>
      <t xml:space="preserve">年間</t>
    </r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DejaVu Sans"/>
        <family val="2"/>
      </rPr>
      <t xml:space="preserve">万円、生涯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DejaVu Sans"/>
        <family val="2"/>
      </rPr>
      <t xml:space="preserve">万円。運用益非課税</t>
    </r>
  </si>
  <si>
    <r>
      <rPr>
        <b val="true"/>
        <sz val="11"/>
        <color rgb="FFFFFFFF"/>
        <rFont val="DejaVu Sans"/>
        <family val="2"/>
      </rPr>
      <t xml:space="preserve">■ 可変箇所</t>
    </r>
    <r>
      <rPr>
        <b val="true"/>
        <sz val="11"/>
        <color rgb="FFFFFFFF"/>
        <rFont val="Arial"/>
        <family val="0"/>
        <charset val="1"/>
      </rPr>
      <t xml:space="preserve">(FP</t>
    </r>
    <r>
      <rPr>
        <b val="true"/>
        <sz val="11"/>
        <color rgb="FFFFFFFF"/>
        <rFont val="DejaVu Sans"/>
        <family val="2"/>
      </rPr>
      <t xml:space="preserve">さんが顧客ごとに変更する項目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</si>
  <si>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青文字セル</t>
  </si>
  <si>
    <t xml:space="preserve">全て上書き可能。黄色背景セルは特に「必ず聞き取る項目」</t>
  </si>
  <si>
    <t xml:space="preserve">運用利回り</t>
  </si>
  <si>
    <r>
      <rPr>
        <sz val="11"/>
        <color theme="1"/>
        <rFont val="Calibri"/>
        <family val="2"/>
        <charset val="1"/>
      </rPr>
      <t xml:space="preserve">iDeCo</t>
    </r>
    <r>
      <rPr>
        <sz val="11"/>
        <color theme="1"/>
        <rFont val="DejaVu Sans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NISA</t>
    </r>
    <r>
      <rPr>
        <sz val="11"/>
        <color theme="1"/>
        <rFont val="DejaVu Sans"/>
        <family val="2"/>
      </rPr>
      <t xml:space="preserve">ともに「</t>
    </r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DejaVu Sans"/>
        <family val="2"/>
      </rPr>
      <t xml:space="preserve">詳細設定」で可変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デフォルト</t>
    </r>
    <r>
      <rPr>
        <sz val="11"/>
        <color theme="1"/>
        <rFont val="Calibri"/>
        <family val="2"/>
        <charset val="1"/>
      </rPr>
      <t xml:space="preserve">3%)</t>
    </r>
  </si>
  <si>
    <t xml:space="preserve">退職金見込額</t>
  </si>
  <si>
    <t xml:space="preserve">顧客ヒアリングで取得</t>
  </si>
  <si>
    <t xml:space="preserve">掛金額</t>
  </si>
  <si>
    <t xml:space="preserve">顧客現在の掛金 → 上限額まで増額した場合の比較を自動表示</t>
  </si>
  <si>
    <r>
      <rPr>
        <b val="true"/>
        <sz val="11"/>
        <color rgb="FFFFFFFF"/>
        <rFont val="DejaVu Sans"/>
        <family val="2"/>
      </rPr>
      <t xml:space="preserve">■ 固定箇所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本試作では未対応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</si>
  <si>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正確な上限は所得控除の組合せで変動。本ツールは概算</t>
  </si>
  <si>
    <r>
      <rPr>
        <sz val="11"/>
        <color theme="1"/>
        <rFont val="DejaVu Sans"/>
        <family val="2"/>
      </rPr>
      <t xml:space="preserve">自治体ごとの均等割超過税率は未対応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東京都標準のみ</t>
    </r>
    <r>
      <rPr>
        <sz val="11"/>
        <color theme="1"/>
        <rFont val="Calibri"/>
        <family val="2"/>
        <charset val="1"/>
      </rPr>
      <t xml:space="preserve">)</t>
    </r>
  </si>
  <si>
    <t xml:space="preserve">国保</t>
  </si>
  <si>
    <t xml:space="preserve">自治体ごとの料率差は未対応</t>
  </si>
  <si>
    <t xml:space="preserve">iDeCo</t>
  </si>
  <si>
    <r>
      <rPr>
        <sz val="11"/>
        <color theme="1"/>
        <rFont val="DejaVu Sans"/>
        <family val="2"/>
      </rPr>
      <t xml:space="preserve">受取時の退職所得控除との重複期間ルール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年・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DejaVu Sans"/>
        <family val="2"/>
      </rPr>
      <t xml:space="preserve">年ルール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は簡易表示</t>
    </r>
  </si>
  <si>
    <t xml:space="preserve">配偶者・扶養控除</t>
  </si>
  <si>
    <r>
      <rPr>
        <sz val="11"/>
        <color theme="1"/>
        <rFont val="DejaVu Sans"/>
        <family val="2"/>
      </rPr>
      <t xml:space="preserve">人数のみ反映。年齢区分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特定扶養等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は未対応</t>
    </r>
  </si>
  <si>
    <t xml:space="preserve">■ 凡例</t>
  </si>
  <si>
    <t xml:space="preserve">青文字</t>
  </si>
  <si>
    <r>
      <rPr>
        <sz val="11"/>
        <color theme="1"/>
        <rFont val="DejaVu Sans"/>
        <family val="2"/>
      </rPr>
      <t xml:space="preserve">ヒアリング入力欄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上書き可</t>
    </r>
    <r>
      <rPr>
        <sz val="11"/>
        <color theme="1"/>
        <rFont val="Calibri"/>
        <family val="2"/>
        <charset val="1"/>
      </rPr>
      <t xml:space="preserve">)</t>
    </r>
  </si>
  <si>
    <t xml:space="preserve">黒文字</t>
  </si>
  <si>
    <t xml:space="preserve">自動計算</t>
  </si>
  <si>
    <t xml:space="preserve">緑文字</t>
  </si>
  <si>
    <t xml:space="preserve">他シートからの参照</t>
  </si>
  <si>
    <t xml:space="preserve">黄色背景</t>
  </si>
  <si>
    <t xml:space="preserve">特に重要な入力項目</t>
  </si>
  <si>
    <r>
      <rPr>
        <b val="true"/>
        <sz val="14"/>
        <color rgb="FFFFFFFF"/>
        <rFont val="DejaVu Sans"/>
        <family val="2"/>
      </rPr>
      <t xml:space="preserve">  顧客ヒアリングシート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青セル</t>
    </r>
    <r>
      <rPr>
        <b val="true"/>
        <sz val="14"/>
        <color rgb="FFFFFFFF"/>
        <rFont val="Arial"/>
        <family val="0"/>
        <charset val="1"/>
      </rPr>
      <t xml:space="preserve">/</t>
    </r>
    <r>
      <rPr>
        <b val="true"/>
        <sz val="14"/>
        <color rgb="FFFFFFFF"/>
        <rFont val="DejaVu Sans"/>
        <family val="2"/>
      </rPr>
      <t xml:space="preserve">黄セルに入力</t>
    </r>
    <r>
      <rPr>
        <b val="true"/>
        <sz val="14"/>
        <color rgb="FFFFFFFF"/>
        <rFont val="Arial"/>
        <family val="0"/>
        <charset val="1"/>
      </rPr>
      <t xml:space="preserve">)</t>
    </r>
  </si>
  <si>
    <t xml:space="preserve">■ 基本情報</t>
  </si>
  <si>
    <t xml:space="preserve">顧客氏名</t>
  </si>
  <si>
    <t xml:space="preserve">山田 太郎</t>
  </si>
  <si>
    <t xml:space="preserve">ヒアリング日</t>
  </si>
  <si>
    <t xml:space="preserve">生年月日</t>
  </si>
  <si>
    <r>
      <rPr>
        <b val="true"/>
        <sz val="11"/>
        <rFont val="DejaVu Sans"/>
        <family val="2"/>
      </rPr>
      <t xml:space="preserve">現在年齢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自動</t>
    </r>
    <r>
      <rPr>
        <b val="true"/>
        <sz val="11"/>
        <rFont val="Arial"/>
        <family val="0"/>
        <charset val="1"/>
      </rPr>
      <t xml:space="preserve">)</t>
    </r>
  </si>
  <si>
    <t xml:space="preserve">職業区分</t>
  </si>
  <si>
    <t xml:space="preserve">自営業</t>
  </si>
  <si>
    <r>
      <rPr>
        <i val="true"/>
        <sz val="11"/>
        <color rgb="FF808080"/>
        <rFont val="Arial"/>
        <family val="0"/>
        <charset val="1"/>
      </rPr>
      <t xml:space="preserve">(</t>
    </r>
    <r>
      <rPr>
        <i val="true"/>
        <sz val="11"/>
        <color rgb="FF808080"/>
        <rFont val="DejaVu Sans"/>
        <family val="2"/>
      </rPr>
      <t xml:space="preserve">自営業 </t>
    </r>
    <r>
      <rPr>
        <i val="true"/>
        <sz val="11"/>
        <color rgb="FF808080"/>
        <rFont val="Arial"/>
        <family val="0"/>
        <charset val="1"/>
      </rPr>
      <t xml:space="preserve">or </t>
    </r>
    <r>
      <rPr>
        <i val="true"/>
        <sz val="11"/>
        <color rgb="FF808080"/>
        <rFont val="DejaVu Sans"/>
        <family val="2"/>
      </rPr>
      <t xml:space="preserve">会社員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</si>
  <si>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居住自治体</t>
  </si>
  <si>
    <t xml:space="preserve">東京都</t>
  </si>
  <si>
    <t xml:space="preserve">配偶者の有無</t>
  </si>
  <si>
    <t xml:space="preserve">あり</t>
  </si>
  <si>
    <t xml:space="preserve">扶養親族の人数</t>
  </si>
  <si>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うち</t>
    </r>
    <r>
      <rPr>
        <b val="true"/>
        <sz val="11"/>
        <rFont val="Arial"/>
        <family val="0"/>
        <charset val="1"/>
      </rPr>
      <t xml:space="preserve">16</t>
    </r>
    <r>
      <rPr>
        <b val="true"/>
        <sz val="11"/>
        <rFont val="DejaVu Sans"/>
        <family val="2"/>
      </rPr>
      <t xml:space="preserve">歳未満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</si>
  <si>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■ 収入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年額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</si>
  <si>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事業収入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売上</t>
    </r>
    <r>
      <rPr>
        <b val="true"/>
        <sz val="11"/>
        <rFont val="Arial"/>
        <family val="0"/>
        <charset val="1"/>
      </rPr>
      <t xml:space="preserve">)</t>
    </r>
  </si>
  <si>
    <t xml:space="preserve">事業経費</t>
  </si>
  <si>
    <r>
      <rPr>
        <b val="true"/>
        <sz val="11"/>
        <rFont val="DejaVu Sans"/>
        <family val="2"/>
      </rPr>
      <t xml:space="preserve">給与収入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額面</t>
    </r>
    <r>
      <rPr>
        <b val="true"/>
        <sz val="11"/>
        <rFont val="Arial"/>
        <family val="0"/>
        <charset val="1"/>
      </rPr>
      <t xml:space="preserve">)</t>
    </r>
  </si>
  <si>
    <t xml:space="preserve">その他所得</t>
  </si>
  <si>
    <r>
      <rPr>
        <b val="true"/>
        <sz val="11"/>
        <color rgb="FFFFFFFF"/>
        <rFont val="DejaVu Sans"/>
        <family val="2"/>
      </rPr>
      <t xml:space="preserve">■ 社会保険・所得控除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把握分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</si>
  <si>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社会保険料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年額・実額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</si>
  <si>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808080"/>
        <rFont val="Arial"/>
        <family val="0"/>
        <charset val="1"/>
      </rPr>
      <t xml:space="preserve">(0</t>
    </r>
    <r>
      <rPr>
        <i val="true"/>
        <sz val="11"/>
        <color rgb="FF808080"/>
        <rFont val="DejaVu Sans"/>
        <family val="2"/>
      </rPr>
      <t xml:space="preserve">なら自動推計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</si>
  <si>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生命保険料控除</t>
  </si>
  <si>
    <t xml:space="preserve">地震保険料控除</t>
  </si>
  <si>
    <r>
      <rPr>
        <b val="true"/>
        <sz val="11"/>
        <rFont val="DejaVu Sans"/>
        <family val="2"/>
      </rPr>
      <t xml:space="preserve">医療費控除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見込</t>
    </r>
    <r>
      <rPr>
        <b val="true"/>
        <sz val="11"/>
        <rFont val="Arial"/>
        <family val="0"/>
        <charset val="1"/>
      </rPr>
      <t xml:space="preserve">)</t>
    </r>
  </si>
  <si>
    <t xml:space="preserve">小規模企業共済掛金</t>
  </si>
  <si>
    <t xml:space="preserve">■ iDeCo</t>
  </si>
  <si>
    <r>
      <rPr>
        <b val="true"/>
        <sz val="11"/>
        <rFont val="DejaVu Sans"/>
        <family val="2"/>
      </rPr>
      <t xml:space="preserve">現在の</t>
    </r>
    <r>
      <rPr>
        <b val="true"/>
        <sz val="11"/>
        <rFont val="Arial"/>
        <family val="0"/>
        <charset val="1"/>
      </rPr>
      <t xml:space="preserve">iDeCo</t>
    </r>
    <r>
      <rPr>
        <b val="true"/>
        <sz val="11"/>
        <rFont val="DejaVu Sans"/>
        <family val="2"/>
      </rPr>
      <t xml:space="preserve">月額掛金</t>
    </r>
  </si>
  <si>
    <t xml:space="preserve">拠出開始年齢</t>
  </si>
  <si>
    <t xml:space="preserve">受取予定年齢</t>
  </si>
  <si>
    <t xml:space="preserve">想定運用利回り</t>
  </si>
  <si>
    <r>
      <rPr>
        <b val="true"/>
        <sz val="11"/>
        <color rgb="FFFFFFFF"/>
        <rFont val="DejaVu Sans"/>
        <family val="2"/>
      </rPr>
      <t xml:space="preserve">■ 退職金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会社員 </t>
    </r>
    <r>
      <rPr>
        <b val="true"/>
        <sz val="11"/>
        <color rgb="FFFFFFFF"/>
        <rFont val="Arial"/>
        <family val="0"/>
        <charset val="1"/>
      </rPr>
      <t xml:space="preserve">or </t>
    </r>
    <r>
      <rPr>
        <b val="true"/>
        <sz val="11"/>
        <color rgb="FFFFFFFF"/>
        <rFont val="DejaVu Sans"/>
        <family val="2"/>
      </rPr>
      <t xml:space="preserve">小規模企業共済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</si>
  <si>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勤続年数</t>
  </si>
  <si>
    <t xml:space="preserve">■ NISA</t>
  </si>
  <si>
    <r>
      <rPr>
        <b val="true"/>
        <sz val="11"/>
        <rFont val="DejaVu Sans"/>
        <family val="2"/>
      </rPr>
      <t xml:space="preserve">現在の</t>
    </r>
    <r>
      <rPr>
        <b val="true"/>
        <sz val="11"/>
        <rFont val="Arial"/>
        <family val="0"/>
        <charset val="1"/>
      </rPr>
      <t xml:space="preserve">NISA</t>
    </r>
    <r>
      <rPr>
        <b val="true"/>
        <sz val="11"/>
        <rFont val="DejaVu Sans"/>
        <family val="2"/>
      </rPr>
      <t xml:space="preserve">残高</t>
    </r>
  </si>
  <si>
    <t xml:space="preserve">毎月積立額</t>
  </si>
  <si>
    <t xml:space="preserve">取り崩し開始年齢</t>
  </si>
  <si>
    <r>
      <rPr>
        <b val="true"/>
        <sz val="11"/>
        <rFont val="DejaVu Sans"/>
        <family val="2"/>
      </rPr>
      <t xml:space="preserve">取り崩し期間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年</t>
    </r>
    <r>
      <rPr>
        <b val="true"/>
        <sz val="11"/>
        <rFont val="Arial"/>
        <family val="0"/>
        <charset val="1"/>
      </rPr>
      <t xml:space="preserve">)</t>
    </r>
  </si>
  <si>
    <t xml:space="preserve">  所得税・住民税・社会保険料 自動計算</t>
  </si>
  <si>
    <t xml:space="preserve">項目</t>
  </si>
  <si>
    <t xml:space="preserve">金額</t>
  </si>
  <si>
    <t xml:space="preserve">計算根拠</t>
  </si>
  <si>
    <t xml:space="preserve">事業収入</t>
  </si>
  <si>
    <t xml:space="preserve">ヒアリング入力</t>
  </si>
  <si>
    <r>
      <rPr>
        <sz val="11"/>
        <color theme="1"/>
        <rFont val="DejaVu Sans"/>
        <family val="2"/>
      </rPr>
      <t xml:space="preserve">電子申告で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DejaVu Sans"/>
        <family val="2"/>
      </rPr>
      <t xml:space="preserve">万円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自営業のみ</t>
    </r>
    <r>
      <rPr>
        <sz val="11"/>
        <color theme="1"/>
        <rFont val="Calibri"/>
        <family val="2"/>
        <charset val="1"/>
      </rPr>
      <t xml:space="preserve">)</t>
    </r>
  </si>
  <si>
    <t xml:space="preserve">事業所得</t>
  </si>
  <si>
    <t xml:space="preserve">売上 − 経費 − 青色申告控除</t>
  </si>
  <si>
    <t xml:space="preserve">給与収入</t>
  </si>
  <si>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DejaVu Sans"/>
        <family val="2"/>
      </rPr>
      <t xml:space="preserve">年改正後の速算表</t>
    </r>
  </si>
  <si>
    <t xml:space="preserve">給与所得</t>
  </si>
  <si>
    <t xml:space="preserve">合計所得金額</t>
  </si>
  <si>
    <t xml:space="preserve">■ 社会保険料</t>
  </si>
  <si>
    <r>
      <rPr>
        <b val="true"/>
        <sz val="11"/>
        <rFont val="DejaVu Sans"/>
        <family val="2"/>
      </rPr>
      <t xml:space="preserve">国民年金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自営業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</si>
  <si>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17,510</t>
    </r>
    <r>
      <rPr>
        <sz val="11"/>
        <color theme="1"/>
        <rFont val="DejaVu Sans"/>
        <family val="2"/>
      </rPr>
      <t xml:space="preserve">円</t>
    </r>
    <r>
      <rPr>
        <sz val="11"/>
        <color theme="1"/>
        <rFont val="Calibri"/>
        <family val="2"/>
        <charset val="1"/>
      </rPr>
      <t xml:space="preserve">×12</t>
    </r>
  </si>
  <si>
    <r>
      <rPr>
        <b val="true"/>
        <sz val="11"/>
        <rFont val="DejaVu Sans"/>
        <family val="2"/>
      </rPr>
      <t xml:space="preserve">国民健康保険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概算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</si>
  <si>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東京都標準・所得割</t>
    </r>
    <r>
      <rPr>
        <sz val="11"/>
        <color theme="1"/>
        <rFont val="Calibri"/>
        <family val="2"/>
        <charset val="1"/>
      </rPr>
      <t xml:space="preserve">10%+</t>
    </r>
    <r>
      <rPr>
        <sz val="11"/>
        <color theme="1"/>
        <rFont val="DejaVu Sans"/>
        <family val="2"/>
      </rPr>
      <t xml:space="preserve">均等割 簡易計算</t>
    </r>
  </si>
  <si>
    <r>
      <rPr>
        <b val="true"/>
        <sz val="11"/>
        <rFont val="DejaVu Sans"/>
        <family val="2"/>
      </rPr>
      <t xml:space="preserve">厚生年金等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会社員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</si>
  <si>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額面の約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DejaVu Sans"/>
        <family val="2"/>
      </rPr>
      <t xml:space="preserve">で簡易計算</t>
    </r>
  </si>
  <si>
    <r>
      <rPr>
        <b val="true"/>
        <sz val="11"/>
        <rFont val="Arial"/>
        <family val="0"/>
        <charset val="1"/>
      </rPr>
      <t xml:space="preserve">iDeCo</t>
    </r>
    <r>
      <rPr>
        <b val="true"/>
        <sz val="11"/>
        <rFont val="DejaVu Sans"/>
        <family val="2"/>
      </rPr>
      <t xml:space="preserve">掛金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全額所得控除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</si>
  <si>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iDeCo</t>
    </r>
    <r>
      <rPr>
        <sz val="11"/>
        <color theme="1"/>
        <rFont val="DejaVu Sans"/>
        <family val="2"/>
      </rPr>
      <t xml:space="preserve">月額</t>
    </r>
    <r>
      <rPr>
        <sz val="11"/>
        <color theme="1"/>
        <rFont val="Calibri"/>
        <family val="2"/>
        <charset val="1"/>
      </rPr>
      <t xml:space="preserve">×12</t>
    </r>
  </si>
  <si>
    <t xml:space="preserve">社会保険料控除 合計</t>
  </si>
  <si>
    <r>
      <rPr>
        <sz val="11"/>
        <color theme="1"/>
        <rFont val="DejaVu Sans"/>
        <family val="2"/>
      </rPr>
      <t xml:space="preserve">ヒアリング実額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DejaVu Sans"/>
        <family val="2"/>
      </rPr>
      <t xml:space="preserve">ならそれを優先</t>
    </r>
    <r>
      <rPr>
        <sz val="11"/>
        <color theme="1"/>
        <rFont val="Calibri"/>
        <family val="2"/>
        <charset val="1"/>
      </rPr>
      <t xml:space="preserve">+iDeCo</t>
    </r>
  </si>
  <si>
    <t xml:space="preserve">■ 所得控除</t>
  </si>
  <si>
    <r>
      <rPr>
        <sz val="11"/>
        <color theme="1"/>
        <rFont val="DejaVu Sans"/>
        <family val="2"/>
      </rPr>
      <t xml:space="preserve">所得税</t>
    </r>
    <r>
      <rPr>
        <sz val="11"/>
        <color theme="1"/>
        <rFont val="Calibri"/>
        <family val="2"/>
        <charset val="1"/>
      </rPr>
      <t xml:space="preserve">(2,400</t>
    </r>
    <r>
      <rPr>
        <sz val="11"/>
        <color theme="1"/>
        <rFont val="DejaVu Sans"/>
        <family val="2"/>
      </rPr>
      <t xml:space="preserve">万円以下</t>
    </r>
    <r>
      <rPr>
        <sz val="11"/>
        <color theme="1"/>
        <rFont val="Calibri"/>
        <family val="2"/>
        <charset val="1"/>
      </rPr>
      <t xml:space="preserve">)</t>
    </r>
  </si>
  <si>
    <t xml:space="preserve">配偶者控除</t>
  </si>
  <si>
    <t xml:space="preserve">扶養控除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</si>
  <si>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DejaVu Sans"/>
        <family val="2"/>
      </rPr>
      <t xml:space="preserve">歳以上のみ・一般扶養</t>
    </r>
    <r>
      <rPr>
        <sz val="11"/>
        <color theme="1"/>
        <rFont val="Calibri"/>
        <family val="2"/>
        <charset val="1"/>
      </rPr>
      <t xml:space="preserve">38</t>
    </r>
    <r>
      <rPr>
        <sz val="11"/>
        <color theme="1"/>
        <rFont val="DejaVu Sans"/>
        <family val="2"/>
      </rPr>
      <t xml:space="preserve">万円で簡易</t>
    </r>
  </si>
  <si>
    <t xml:space="preserve">医療費控除</t>
  </si>
  <si>
    <t xml:space="preserve">小規模企業共済等掛金</t>
  </si>
  <si>
    <t xml:space="preserve">所得控除合計</t>
  </si>
  <si>
    <t xml:space="preserve">■ 税額計算</t>
  </si>
  <si>
    <t xml:space="preserve">課税所得</t>
  </si>
  <si>
    <r>
      <rPr>
        <b val="true"/>
        <sz val="11"/>
        <rFont val="DejaVu Sans"/>
        <family val="2"/>
      </rPr>
      <t xml:space="preserve">所得税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超過累進</t>
    </r>
    <r>
      <rPr>
        <b val="true"/>
        <sz val="11"/>
        <rFont val="Arial"/>
        <family val="0"/>
        <charset val="1"/>
      </rPr>
      <t xml:space="preserve">)</t>
    </r>
  </si>
  <si>
    <t xml:space="preserve">国税庁速算表</t>
  </si>
  <si>
    <t xml:space="preserve">復興特別所得税</t>
  </si>
  <si>
    <r>
      <rPr>
        <b val="true"/>
        <sz val="11"/>
        <rFont val="DejaVu Sans"/>
        <family val="2"/>
      </rPr>
      <t xml:space="preserve">住民税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所得割</t>
    </r>
    <r>
      <rPr>
        <b val="true"/>
        <sz val="11"/>
        <rFont val="Arial"/>
        <family val="0"/>
        <charset val="1"/>
      </rPr>
      <t xml:space="preserve">10%+</t>
    </r>
    <r>
      <rPr>
        <b val="true"/>
        <sz val="11"/>
        <rFont val="DejaVu Sans"/>
        <family val="2"/>
      </rPr>
      <t xml:space="preserve">均等割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</si>
  <si>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基礎控除差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万円調整・東京都標準</t>
    </r>
  </si>
  <si>
    <t xml:space="preserve">税・社保 合計負担</t>
  </si>
  <si>
    <t xml:space="preserve">手取り</t>
  </si>
  <si>
    <r>
      <rPr>
        <b val="true"/>
        <sz val="14"/>
        <color rgb="FFFFFFFF"/>
        <rFont val="Arial"/>
        <family val="0"/>
        <charset val="1"/>
      </rPr>
      <t xml:space="preserve">  iDeCo </t>
    </r>
    <r>
      <rPr>
        <b val="true"/>
        <sz val="14"/>
        <color rgb="FFFFFFFF"/>
        <rFont val="DejaVu Sans"/>
        <family val="2"/>
      </rPr>
      <t xml:space="preserve">節税効果・将来資産シミュレーション</t>
    </r>
  </si>
  <si>
    <t xml:space="preserve">前提</t>
  </si>
  <si>
    <t xml:space="preserve">現在の月額掛金</t>
  </si>
  <si>
    <r>
      <rPr>
        <b val="true"/>
        <sz val="11"/>
        <rFont val="DejaVu Sans"/>
        <family val="2"/>
      </rPr>
      <t xml:space="preserve">上限月額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自営業</t>
    </r>
    <r>
      <rPr>
        <b val="true"/>
        <sz val="11"/>
        <rFont val="Arial"/>
        <family val="0"/>
        <charset val="1"/>
      </rPr>
      <t xml:space="preserve">68,000/</t>
    </r>
    <r>
      <rPr>
        <b val="true"/>
        <sz val="11"/>
        <rFont val="DejaVu Sans"/>
        <family val="2"/>
      </rPr>
      <t xml:space="preserve">会社員</t>
    </r>
    <r>
      <rPr>
        <b val="true"/>
        <sz val="11"/>
        <rFont val="Arial"/>
        <family val="0"/>
        <charset val="1"/>
      </rPr>
      <t xml:space="preserve">23,000)</t>
    </r>
  </si>
  <si>
    <t xml:space="preserve">拠出年数</t>
  </si>
  <si>
    <t xml:space="preserve">想定利回り</t>
  </si>
  <si>
    <r>
      <rPr>
        <b val="true"/>
        <sz val="11"/>
        <rFont val="DejaVu Sans"/>
        <family val="2"/>
      </rPr>
      <t xml:space="preserve">適用税率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所得税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DejaVu Sans"/>
        <family val="2"/>
      </rPr>
      <t xml:space="preserve">住民税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</si>
  <si>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課税所得から逆引き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住民税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DejaVu Sans"/>
        <family val="2"/>
      </rPr>
      <t xml:space="preserve">含む</t>
    </r>
    <r>
      <rPr>
        <sz val="11"/>
        <color theme="1"/>
        <rFont val="Calibri"/>
        <family val="2"/>
        <charset val="1"/>
      </rPr>
      <t xml:space="preserve">)</t>
    </r>
  </si>
  <si>
    <t xml:space="preserve">■ シナリオ比較</t>
  </si>
  <si>
    <t xml:space="preserve">シナリオ</t>
  </si>
  <si>
    <t xml:space="preserve">月額掛金</t>
  </si>
  <si>
    <t xml:space="preserve">年間節税額</t>
  </si>
  <si>
    <t xml:space="preserve">拠出元本</t>
  </si>
  <si>
    <r>
      <rPr>
        <b val="true"/>
        <sz val="11"/>
        <rFont val="DejaVu Sans"/>
        <family val="2"/>
      </rPr>
      <t xml:space="preserve">受取見込額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運用後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</si>
  <si>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① 現状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ヒアリング値</t>
    </r>
    <r>
      <rPr>
        <b val="true"/>
        <sz val="11"/>
        <rFont val="Arial"/>
        <family val="0"/>
        <charset val="1"/>
      </rPr>
      <t xml:space="preserve">)</t>
    </r>
  </si>
  <si>
    <t xml:space="preserve">② 上限まで増額</t>
  </si>
  <si>
    <t xml:space="preserve">③ 上限の半額</t>
  </si>
  <si>
    <t xml:space="preserve">■ ポイント</t>
  </si>
  <si>
    <r>
      <rPr>
        <sz val="11"/>
        <color theme="1"/>
        <rFont val="DejaVu Sans"/>
        <family val="2"/>
      </rPr>
      <t xml:space="preserve">・年間節税額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月額</t>
    </r>
    <r>
      <rPr>
        <sz val="11"/>
        <color theme="1"/>
        <rFont val="Calibri"/>
        <family val="2"/>
        <charset val="1"/>
      </rPr>
      <t xml:space="preserve">×12×(</t>
    </r>
    <r>
      <rPr>
        <sz val="11"/>
        <color theme="1"/>
        <rFont val="DejaVu Sans"/>
        <family val="2"/>
      </rPr>
      <t xml:space="preserve">所得税率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住民税</t>
    </r>
    <r>
      <rPr>
        <sz val="11"/>
        <color theme="1"/>
        <rFont val="Calibri"/>
        <family val="2"/>
        <charset val="1"/>
      </rPr>
      <t xml:space="preserve">10%)</t>
    </r>
    <r>
      <rPr>
        <sz val="11"/>
        <color theme="1"/>
        <rFont val="DejaVu Sans"/>
        <family val="2"/>
      </rPr>
      <t xml:space="preserve">。掛金は全額が小規模企業共済等掛金控除</t>
    </r>
  </si>
  <si>
    <r>
      <rPr>
        <sz val="11"/>
        <color theme="1"/>
        <rFont val="DejaVu Sans"/>
        <family val="2"/>
      </rPr>
      <t xml:space="preserve">・受取時は退職所得控除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一時金</t>
    </r>
    <r>
      <rPr>
        <sz val="11"/>
        <color theme="1"/>
        <rFont val="Calibri"/>
        <family val="2"/>
        <charset val="1"/>
      </rPr>
      <t xml:space="preserve">)or </t>
    </r>
    <r>
      <rPr>
        <sz val="11"/>
        <color theme="1"/>
        <rFont val="DejaVu Sans"/>
        <family val="2"/>
      </rPr>
      <t xml:space="preserve">公的年金等控除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年金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。退職金との重複に注意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年・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DejaVu Sans"/>
        <family val="2"/>
      </rPr>
      <t xml:space="preserve">年ルール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</si>
  <si>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4"/>
        <color rgb="FFFFFFFF"/>
        <rFont val="DejaVu Sans"/>
        <family val="2"/>
      </rPr>
      <t xml:space="preserve">  退職金 一時金 </t>
    </r>
    <r>
      <rPr>
        <b val="true"/>
        <sz val="14"/>
        <color rgb="FFFFFFFF"/>
        <rFont val="Arial"/>
        <family val="0"/>
        <charset val="1"/>
      </rPr>
      <t xml:space="preserve">vs </t>
    </r>
    <r>
      <rPr>
        <b val="true"/>
        <sz val="14"/>
        <color rgb="FFFFFFFF"/>
        <rFont val="DejaVu Sans"/>
        <family val="2"/>
      </rPr>
      <t xml:space="preserve">年金 受取比較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</si>
  <si>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DejaVu Sans"/>
        <family val="2"/>
      </rPr>
      <t xml:space="preserve">年以下</t>
    </r>
    <r>
      <rPr>
        <sz val="11"/>
        <color theme="1"/>
        <rFont val="Calibri"/>
        <family val="2"/>
        <charset val="1"/>
      </rPr>
      <t xml:space="preserve">:40</t>
    </r>
    <r>
      <rPr>
        <sz val="11"/>
        <color theme="1"/>
        <rFont val="DejaVu Sans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DejaVu Sans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/20</t>
    </r>
    <r>
      <rPr>
        <sz val="11"/>
        <color theme="1"/>
        <rFont val="DejaVu Sans"/>
        <family val="2"/>
      </rPr>
      <t xml:space="preserve">年超</t>
    </r>
    <r>
      <rPr>
        <sz val="11"/>
        <color theme="1"/>
        <rFont val="Calibri"/>
        <family val="2"/>
        <charset val="1"/>
      </rPr>
      <t xml:space="preserve">:800</t>
    </r>
    <r>
      <rPr>
        <sz val="11"/>
        <color theme="1"/>
        <rFont val="DejaVu Sans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+70</t>
    </r>
    <r>
      <rPr>
        <sz val="11"/>
        <color theme="1"/>
        <rFont val="DejaVu Sans"/>
        <family val="2"/>
      </rPr>
      <t xml:space="preserve">万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DejaVu Sans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-20)</t>
    </r>
  </si>
  <si>
    <r>
      <rPr>
        <b val="true"/>
        <sz val="11"/>
        <rFont val="DejaVu Sans"/>
        <family val="2"/>
      </rPr>
      <t xml:space="preserve">退職所得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課税対象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</si>
  <si>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退職金 − 控除</t>
    </r>
    <r>
      <rPr>
        <sz val="11"/>
        <color theme="1"/>
        <rFont val="Calibri"/>
        <family val="2"/>
        <charset val="1"/>
      </rPr>
      <t xml:space="preserve">)×1/2</t>
    </r>
  </si>
  <si>
    <t xml:space="preserve">一時金 所得税</t>
  </si>
  <si>
    <t xml:space="preserve">一時金 住民税</t>
  </si>
  <si>
    <t xml:space="preserve">■ 一時金受取・手取り</t>
  </si>
  <si>
    <r>
      <rPr>
        <b val="true"/>
        <sz val="11"/>
        <rFont val="DejaVu Sans"/>
        <family val="2"/>
      </rPr>
      <t xml:space="preserve">■ 年金受取</t>
    </r>
    <r>
      <rPr>
        <b val="true"/>
        <sz val="11"/>
        <rFont val="Arial"/>
        <family val="0"/>
        <charset val="1"/>
      </rPr>
      <t xml:space="preserve">(10</t>
    </r>
    <r>
      <rPr>
        <b val="true"/>
        <sz val="11"/>
        <rFont val="DejaVu Sans"/>
        <family val="2"/>
      </rPr>
      <t xml:space="preserve">年分割の場合</t>
    </r>
    <r>
      <rPr>
        <b val="true"/>
        <sz val="11"/>
        <rFont val="Arial"/>
        <family val="0"/>
        <charset val="1"/>
      </rPr>
      <t xml:space="preserve">)</t>
    </r>
  </si>
  <si>
    <t xml:space="preserve">年間受取額</t>
  </si>
  <si>
    <r>
      <rPr>
        <b val="true"/>
        <sz val="11"/>
        <rFont val="DejaVu Sans"/>
        <family val="2"/>
      </rPr>
      <t xml:space="preserve">公的年金等控除</t>
    </r>
    <r>
      <rPr>
        <b val="true"/>
        <sz val="11"/>
        <rFont val="Arial"/>
        <family val="0"/>
        <charset val="1"/>
      </rPr>
      <t xml:space="preserve">(65</t>
    </r>
    <r>
      <rPr>
        <b val="true"/>
        <sz val="11"/>
        <rFont val="DejaVu Sans"/>
        <family val="2"/>
      </rPr>
      <t xml:space="preserve">歳以上・概算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</si>
  <si>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DejaVu Sans"/>
        <family val="2"/>
      </rPr>
      <t xml:space="preserve">歳以上・年金収入</t>
    </r>
    <r>
      <rPr>
        <sz val="11"/>
        <color theme="1"/>
        <rFont val="Calibri"/>
        <family val="2"/>
        <charset val="1"/>
      </rPr>
      <t xml:space="preserve">330</t>
    </r>
    <r>
      <rPr>
        <sz val="11"/>
        <color theme="1"/>
        <rFont val="DejaVu Sans"/>
        <family val="2"/>
      </rPr>
      <t xml:space="preserve">万円未満を想定</t>
    </r>
  </si>
  <si>
    <t xml:space="preserve">課税年金所得</t>
  </si>
  <si>
    <r>
      <rPr>
        <b val="true"/>
        <sz val="11"/>
        <rFont val="DejaVu Sans"/>
        <family val="2"/>
      </rPr>
      <t xml:space="preserve">年金課税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所得税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DejaVu Sans"/>
        <family val="2"/>
      </rPr>
      <t xml:space="preserve">住民税 簡易</t>
    </r>
    <r>
      <rPr>
        <b val="true"/>
        <sz val="11"/>
        <rFont val="Arial"/>
        <family val="0"/>
        <charset val="1"/>
      </rPr>
      <t xml:space="preserve">15%)</t>
    </r>
  </si>
  <si>
    <r>
      <rPr>
        <sz val="11"/>
        <color theme="1"/>
        <rFont val="DejaVu Sans"/>
        <family val="2"/>
      </rPr>
      <t xml:space="preserve">簡易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DejaVu Sans"/>
        <family val="2"/>
      </rPr>
      <t xml:space="preserve">で試算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他所得との合算で変動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</si>
  <si>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■ 年金受取・</t>
    </r>
    <r>
      <rPr>
        <b val="true"/>
        <sz val="11"/>
        <rFont val="Arial"/>
        <family val="0"/>
        <charset val="1"/>
      </rPr>
      <t xml:space="preserve">10</t>
    </r>
    <r>
      <rPr>
        <b val="true"/>
        <sz val="11"/>
        <rFont val="DejaVu Sans"/>
        <family val="2"/>
      </rPr>
      <t xml:space="preserve">年合計手取り</t>
    </r>
  </si>
  <si>
    <r>
      <rPr>
        <b val="true"/>
        <sz val="14"/>
        <color rgb="FFFFFFFF"/>
        <rFont val="DejaVu Sans"/>
        <family val="2"/>
      </rPr>
      <t xml:space="preserve">  ふるさと納税 上限額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概算</t>
    </r>
    <r>
      <rPr>
        <b val="true"/>
        <sz val="14"/>
        <color rgb="FFFFFFFF"/>
        <rFont val="Arial"/>
        <family val="0"/>
        <charset val="1"/>
      </rPr>
      <t xml:space="preserve">)</t>
    </r>
  </si>
  <si>
    <t xml:space="preserve">住民税所得割</t>
  </si>
  <si>
    <r>
      <rPr>
        <sz val="11"/>
        <color theme="1"/>
        <rFont val="DejaVu Sans"/>
        <family val="2"/>
      </rPr>
      <t xml:space="preserve">課税所得</t>
    </r>
    <r>
      <rPr>
        <sz val="11"/>
        <color theme="1"/>
        <rFont val="Calibri"/>
        <family val="2"/>
        <charset val="1"/>
      </rPr>
      <t xml:space="preserve">×10%</t>
    </r>
  </si>
  <si>
    <t xml:space="preserve">所得税率</t>
  </si>
  <si>
    <r>
      <rPr>
        <b val="true"/>
        <sz val="11"/>
        <rFont val="DejaVu Sans"/>
        <family val="2"/>
      </rPr>
      <t xml:space="preserve">ふるさと納税 上限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概算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</si>
  <si>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総務省簡易式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住民税所得割</t>
    </r>
    <r>
      <rPr>
        <sz val="11"/>
        <color theme="1"/>
        <rFont val="Calibri"/>
        <family val="2"/>
        <charset val="1"/>
      </rPr>
      <t xml:space="preserve">×20%)/(90% − </t>
    </r>
    <r>
      <rPr>
        <sz val="11"/>
        <color theme="1"/>
        <rFont val="DejaVu Sans"/>
        <family val="2"/>
      </rPr>
      <t xml:space="preserve">所得税率</t>
    </r>
    <r>
      <rPr>
        <sz val="11"/>
        <color theme="1"/>
        <rFont val="Calibri"/>
        <family val="2"/>
        <charset val="1"/>
      </rPr>
      <t xml:space="preserve">×1.021) + 2,000</t>
    </r>
    <r>
      <rPr>
        <sz val="11"/>
        <color theme="1"/>
        <rFont val="DejaVu Sans"/>
        <family val="2"/>
      </rPr>
      <t xml:space="preserve">円</t>
    </r>
  </si>
  <si>
    <r>
      <rPr>
        <b val="true"/>
        <sz val="14"/>
        <color rgb="FFFFFFFF"/>
        <rFont val="Arial"/>
        <family val="0"/>
        <charset val="1"/>
      </rPr>
      <t xml:space="preserve">  NISA </t>
    </r>
    <r>
      <rPr>
        <b val="true"/>
        <sz val="14"/>
        <color rgb="FFFFFFFF"/>
        <rFont val="DejaVu Sans"/>
        <family val="2"/>
      </rPr>
      <t xml:space="preserve">積立 → 取り崩しシミュレーション</t>
    </r>
  </si>
  <si>
    <t xml:space="preserve">現在残高</t>
  </si>
  <si>
    <t xml:space="preserve">現在年齢</t>
  </si>
  <si>
    <t xml:space="preserve">積立年数</t>
  </si>
  <si>
    <t xml:space="preserve">取り崩し開始時 残高見込</t>
  </si>
  <si>
    <r>
      <rPr>
        <b val="true"/>
        <sz val="11"/>
        <rFont val="DejaVu Sans"/>
        <family val="2"/>
      </rPr>
      <t xml:space="preserve">■ シナリオ</t>
    </r>
    <r>
      <rPr>
        <b val="true"/>
        <sz val="11"/>
        <rFont val="Arial"/>
        <family val="0"/>
        <charset val="1"/>
      </rPr>
      <t xml:space="preserve">A:</t>
    </r>
    <r>
      <rPr>
        <b val="true"/>
        <sz val="11"/>
        <rFont val="DejaVu Sans"/>
        <family val="2"/>
      </rPr>
      <t xml:space="preserve">均等取り崩し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毎年同額</t>
    </r>
    <r>
      <rPr>
        <b val="true"/>
        <sz val="11"/>
        <rFont val="Arial"/>
        <family val="0"/>
        <charset val="1"/>
      </rPr>
      <t xml:space="preserve">)</t>
    </r>
  </si>
  <si>
    <t xml:space="preserve">年金現価方式</t>
  </si>
  <si>
    <r>
      <rPr>
        <b val="true"/>
        <sz val="11"/>
        <rFont val="DejaVu Sans"/>
        <family val="2"/>
      </rPr>
      <t xml:space="preserve">■ シナリオ</t>
    </r>
    <r>
      <rPr>
        <b val="true"/>
        <sz val="11"/>
        <rFont val="Arial"/>
        <family val="0"/>
        <charset val="1"/>
      </rPr>
      <t xml:space="preserve">B:</t>
    </r>
    <r>
      <rPr>
        <b val="true"/>
        <sz val="11"/>
        <rFont val="DejaVu Sans"/>
        <family val="2"/>
      </rPr>
      <t xml:space="preserve">定率</t>
    </r>
    <r>
      <rPr>
        <b val="true"/>
        <sz val="11"/>
        <rFont val="Arial"/>
        <family val="0"/>
        <charset val="1"/>
      </rPr>
      <t xml:space="preserve">4%</t>
    </r>
    <r>
      <rPr>
        <b val="true"/>
        <sz val="11"/>
        <rFont val="DejaVu Sans"/>
        <family val="2"/>
      </rPr>
      <t xml:space="preserve">取り崩し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年額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</si>
  <si>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Trinity Study</t>
    </r>
    <r>
      <rPr>
        <sz val="11"/>
        <color theme="1"/>
        <rFont val="DejaVu Sans"/>
        <family val="2"/>
      </rPr>
      <t xml:space="preserve">等で参照される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DejaVu Sans"/>
        <family val="2"/>
      </rPr>
      <t xml:space="preserve">ルール</t>
    </r>
  </si>
  <si>
    <t xml:space="preserve">  顧客提示用 サマリー</t>
  </si>
  <si>
    <t xml:space="preserve">顧客名</t>
  </si>
  <si>
    <t xml:space="preserve">年齢</t>
  </si>
  <si>
    <t xml:space="preserve">職業</t>
  </si>
  <si>
    <t xml:space="preserve">年間収入合計</t>
  </si>
  <si>
    <r>
      <rPr>
        <b val="true"/>
        <sz val="11"/>
        <rFont val="DejaVu Sans"/>
        <family val="2"/>
      </rPr>
      <t xml:space="preserve">手取り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年額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</si>
  <si>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iDeCo</t>
    </r>
    <r>
      <rPr>
        <b val="true"/>
        <sz val="11"/>
        <rFont val="DejaVu Sans"/>
        <family val="2"/>
      </rPr>
      <t xml:space="preserve">上限増額の年間節税額</t>
    </r>
  </si>
  <si>
    <t xml:space="preserve">退職金 一時金手取り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</si>
</sst>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0"/>
    <numFmt numFmtId="167" formatCode="\¥#,##0;&quot;(¥&quot;#,##0\);\-"/>
    <numFmt numFmtId="168" formatCode="0.0%;\(0.0%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name val="DejaVu Sans"/>
      <family val="2"/>
    </font>
    <font>
      <sz val="11"/>
      <color theme="1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DejaVu Sans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11"/>
      <color rgb="FF808080"/>
      <name val="DejaVu Sans"/>
      <family val="2"/>
    </font>
    <font>
      <sz val="11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1"/>
      <color rgb="FF008000"/>
      <name val="DejaVu Sans"/>
      <family val="2"/>
    </font>
    <font>
      <b val="true"/>
      <sz val="12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70"/>
  </cols>
  <sheetData>
    <row r="2" customFormat="false" ht="25.5" hidden="false" customHeight="tru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28.3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28.35" hidden="false" customHeight="false" outlineLevel="0" collapsed="false">
      <c r="B8" s="3" t="s">
        <v>8</v>
      </c>
      <c r="C8" s="4" t="s">
        <v>9</v>
      </c>
    </row>
    <row r="10" customFormat="false" ht="15" hidden="false" customHeight="false" outlineLevel="0" collapsed="false">
      <c r="B10" s="2" t="s">
        <v>10</v>
      </c>
      <c r="C10" s="2"/>
    </row>
    <row r="11" customFormat="false" ht="15" hidden="false" customHeight="false" outlineLevel="0" collapsed="false">
      <c r="B11" s="3" t="s">
        <v>11</v>
      </c>
      <c r="C11" s="5" t="s">
        <v>12</v>
      </c>
    </row>
    <row r="12" customFormat="false" ht="15" hidden="false" customHeight="false" outlineLevel="0" collapsed="false">
      <c r="B12" s="3" t="s">
        <v>13</v>
      </c>
      <c r="C12" s="4" t="s">
        <v>14</v>
      </c>
    </row>
    <row r="13" customFormat="false" ht="28.35" hidden="false" customHeight="false" outlineLevel="0" collapsed="false">
      <c r="B13" s="3" t="s">
        <v>15</v>
      </c>
      <c r="C13" s="4" t="s">
        <v>16</v>
      </c>
    </row>
    <row r="14" customFormat="false" ht="15" hidden="false" customHeight="false" outlineLevel="0" collapsed="false">
      <c r="B14" s="3" t="s">
        <v>17</v>
      </c>
      <c r="C14" s="4" t="s">
        <v>18</v>
      </c>
    </row>
    <row r="15" customFormat="false" ht="15" hidden="false" customHeight="false" outlineLevel="0" collapsed="false">
      <c r="B15" s="3" t="s">
        <v>19</v>
      </c>
      <c r="C15" s="5" t="s">
        <v>20</v>
      </c>
    </row>
    <row r="16" customFormat="false" ht="15" hidden="false" customHeight="false" outlineLevel="0" collapsed="false">
      <c r="B16" s="3" t="s">
        <v>21</v>
      </c>
      <c r="C16" s="5" t="s">
        <v>22</v>
      </c>
    </row>
    <row r="17" customFormat="false" ht="15" hidden="false" customHeight="false" outlineLevel="0" collapsed="false">
      <c r="B17" s="3" t="s">
        <v>23</v>
      </c>
      <c r="C17" s="4" t="s">
        <v>24</v>
      </c>
    </row>
    <row r="18" customFormat="false" ht="15" hidden="false" customHeight="false" outlineLevel="0" collapsed="false">
      <c r="B18" s="3" t="s">
        <v>25</v>
      </c>
      <c r="C18" s="4" t="s">
        <v>26</v>
      </c>
    </row>
    <row r="19" customFormat="false" ht="15" hidden="false" customHeight="false" outlineLevel="0" collapsed="false">
      <c r="B19" s="6" t="s">
        <v>27</v>
      </c>
      <c r="C19" s="4" t="s">
        <v>28</v>
      </c>
    </row>
    <row r="20" customFormat="false" ht="15" hidden="false" customHeight="false" outlineLevel="0" collapsed="false">
      <c r="B20" s="3" t="s">
        <v>29</v>
      </c>
      <c r="C20" s="4" t="s">
        <v>30</v>
      </c>
    </row>
    <row r="21" customFormat="false" ht="15" hidden="false" customHeight="false" outlineLevel="0" collapsed="false">
      <c r="B21" s="3" t="s">
        <v>31</v>
      </c>
      <c r="C21" s="4" t="s">
        <v>32</v>
      </c>
    </row>
    <row r="22" customFormat="false" ht="15" hidden="false" customHeight="false" outlineLevel="0" collapsed="false">
      <c r="B22" s="6" t="s">
        <v>33</v>
      </c>
      <c r="C22" s="4" t="s">
        <v>34</v>
      </c>
    </row>
    <row r="24" customFormat="false" ht="15" hidden="false" customHeight="false" outlineLevel="0" collapsed="false">
      <c r="B24" s="2" t="s">
        <v>35</v>
      </c>
      <c r="C24" s="2"/>
    </row>
    <row r="25" customFormat="false" ht="15" hidden="false" customHeight="false" outlineLevel="0" collapsed="false">
      <c r="B25" s="3" t="s">
        <v>36</v>
      </c>
      <c r="C25" s="4" t="s">
        <v>37</v>
      </c>
    </row>
    <row r="26" customFormat="false" ht="15" hidden="false" customHeight="false" outlineLevel="0" collapsed="false">
      <c r="B26" s="3" t="s">
        <v>38</v>
      </c>
      <c r="C26" s="5" t="s">
        <v>39</v>
      </c>
    </row>
    <row r="27" customFormat="false" ht="15" hidden="false" customHeight="false" outlineLevel="0" collapsed="false">
      <c r="B27" s="3" t="s">
        <v>40</v>
      </c>
      <c r="C27" s="4" t="s">
        <v>41</v>
      </c>
    </row>
    <row r="28" customFormat="false" ht="15" hidden="false" customHeight="false" outlineLevel="0" collapsed="false">
      <c r="B28" s="3" t="s">
        <v>42</v>
      </c>
      <c r="C28" s="4" t="s">
        <v>43</v>
      </c>
    </row>
    <row r="30" customFormat="false" ht="15" hidden="false" customHeight="false" outlineLevel="0" collapsed="false">
      <c r="B30" s="2" t="s">
        <v>44</v>
      </c>
      <c r="C30" s="2"/>
    </row>
    <row r="31" customFormat="false" ht="15" hidden="false" customHeight="false" outlineLevel="0" collapsed="false">
      <c r="B31" s="3" t="s">
        <v>31</v>
      </c>
      <c r="C31" s="4" t="s">
        <v>45</v>
      </c>
    </row>
    <row r="32" customFormat="false" ht="15" hidden="false" customHeight="false" outlineLevel="0" collapsed="false">
      <c r="B32" s="3" t="s">
        <v>15</v>
      </c>
      <c r="C32" s="4" t="s">
        <v>46</v>
      </c>
    </row>
    <row r="33" customFormat="false" ht="15" hidden="false" customHeight="false" outlineLevel="0" collapsed="false">
      <c r="B33" s="3" t="s">
        <v>47</v>
      </c>
      <c r="C33" s="4" t="s">
        <v>48</v>
      </c>
    </row>
    <row r="34" customFormat="false" ht="15" hidden="false" customHeight="false" outlineLevel="0" collapsed="false">
      <c r="B34" s="6" t="s">
        <v>49</v>
      </c>
      <c r="C34" s="4" t="s">
        <v>50</v>
      </c>
    </row>
    <row r="35" customFormat="false" ht="15" hidden="false" customHeight="false" outlineLevel="0" collapsed="false">
      <c r="B35" s="3" t="s">
        <v>51</v>
      </c>
      <c r="C35" s="4" t="s">
        <v>52</v>
      </c>
    </row>
    <row r="37" customFormat="false" ht="15" hidden="false" customHeight="false" outlineLevel="0" collapsed="false">
      <c r="B37" s="2" t="s">
        <v>53</v>
      </c>
      <c r="C37" s="2"/>
    </row>
    <row r="38" customFormat="false" ht="15" hidden="false" customHeight="false" outlineLevel="0" collapsed="false">
      <c r="B38" s="3" t="s">
        <v>54</v>
      </c>
      <c r="C38" s="4" t="s">
        <v>55</v>
      </c>
    </row>
    <row r="39" customFormat="false" ht="15" hidden="false" customHeight="false" outlineLevel="0" collapsed="false">
      <c r="B39" s="3" t="s">
        <v>56</v>
      </c>
      <c r="C39" s="4" t="s">
        <v>57</v>
      </c>
    </row>
    <row r="40" customFormat="false" ht="15" hidden="false" customHeight="false" outlineLevel="0" collapsed="false">
      <c r="B40" s="3" t="s">
        <v>58</v>
      </c>
      <c r="C40" s="4" t="s">
        <v>59</v>
      </c>
    </row>
    <row r="41" customFormat="false" ht="15" hidden="false" customHeight="false" outlineLevel="0" collapsed="false">
      <c r="B41" s="3" t="s">
        <v>60</v>
      </c>
      <c r="C41" s="4" t="s">
        <v>61</v>
      </c>
    </row>
  </sheetData>
  <mergeCells count="6">
    <mergeCell ref="B2:C2"/>
    <mergeCell ref="B4:C4"/>
    <mergeCell ref="B10:C10"/>
    <mergeCell ref="B24:C24"/>
    <mergeCell ref="B30:C30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2"/>
  </cols>
  <sheetData>
    <row r="2" customFormat="false" ht="25.5" hidden="false" customHeight="true" outlineLevel="0" collapsed="false">
      <c r="B2" s="7" t="s">
        <v>62</v>
      </c>
      <c r="C2" s="7"/>
      <c r="D2" s="7"/>
      <c r="E2" s="7"/>
    </row>
    <row r="4" customFormat="false" ht="15" hidden="false" customHeight="false" outlineLevel="0" collapsed="false">
      <c r="B4" s="8" t="s">
        <v>63</v>
      </c>
      <c r="C4" s="8"/>
      <c r="D4" s="8"/>
      <c r="E4" s="8"/>
    </row>
    <row r="5" customFormat="false" ht="15" hidden="false" customHeight="false" outlineLevel="0" collapsed="false">
      <c r="B5" s="9" t="s">
        <v>64</v>
      </c>
      <c r="C5" s="10" t="s">
        <v>65</v>
      </c>
      <c r="D5" s="9" t="s">
        <v>66</v>
      </c>
      <c r="E5" s="11" t="n">
        <v>46119</v>
      </c>
    </row>
    <row r="6" customFormat="false" ht="15" hidden="false" customHeight="false" outlineLevel="0" collapsed="false">
      <c r="B6" s="9" t="s">
        <v>67</v>
      </c>
      <c r="C6" s="12" t="n">
        <v>29356</v>
      </c>
      <c r="D6" s="9" t="s">
        <v>68</v>
      </c>
      <c r="E6" s="13" t="n">
        <f aca="false">DATEDIF(C6,E5,"Y")</f>
        <v>45</v>
      </c>
    </row>
    <row r="7" customFormat="false" ht="15" hidden="false" customHeight="false" outlineLevel="0" collapsed="false">
      <c r="B7" s="9" t="s">
        <v>69</v>
      </c>
      <c r="C7" s="10" t="s">
        <v>70</v>
      </c>
      <c r="D7" s="14" t="s">
        <v>71</v>
      </c>
    </row>
    <row r="8" customFormat="false" ht="15" hidden="false" customHeight="false" outlineLevel="0" collapsed="false">
      <c r="B8" s="9" t="s">
        <v>72</v>
      </c>
      <c r="C8" s="15" t="s">
        <v>73</v>
      </c>
      <c r="D8" s="9" t="s">
        <v>74</v>
      </c>
      <c r="E8" s="15" t="s">
        <v>75</v>
      </c>
    </row>
    <row r="9" customFormat="false" ht="15" hidden="false" customHeight="false" outlineLevel="0" collapsed="false">
      <c r="B9" s="9" t="s">
        <v>76</v>
      </c>
      <c r="C9" s="16" t="n">
        <v>1</v>
      </c>
      <c r="D9" s="17" t="s">
        <v>77</v>
      </c>
      <c r="E9" s="16" t="n">
        <v>0</v>
      </c>
    </row>
    <row r="11" customFormat="false" ht="15" hidden="false" customHeight="false" outlineLevel="0" collapsed="false">
      <c r="B11" s="8" t="s">
        <v>78</v>
      </c>
      <c r="C11" s="8"/>
      <c r="D11" s="8"/>
      <c r="E11" s="8"/>
    </row>
    <row r="12" customFormat="false" ht="15" hidden="false" customHeight="false" outlineLevel="0" collapsed="false">
      <c r="B12" s="9" t="s">
        <v>79</v>
      </c>
      <c r="C12" s="18" t="n">
        <v>8000000</v>
      </c>
      <c r="D12" s="9" t="s">
        <v>80</v>
      </c>
      <c r="E12" s="18" t="n">
        <v>2000000</v>
      </c>
    </row>
    <row r="13" customFormat="false" ht="15" hidden="false" customHeight="false" outlineLevel="0" collapsed="false">
      <c r="B13" s="9" t="s">
        <v>81</v>
      </c>
      <c r="C13" s="18" t="n">
        <v>0</v>
      </c>
      <c r="D13" s="9" t="s">
        <v>82</v>
      </c>
      <c r="E13" s="19" t="n">
        <v>0</v>
      </c>
    </row>
    <row r="15" customFormat="false" ht="15" hidden="false" customHeight="false" outlineLevel="0" collapsed="false">
      <c r="B15" s="8" t="s">
        <v>83</v>
      </c>
      <c r="C15" s="8"/>
      <c r="D15" s="8"/>
      <c r="E15" s="8"/>
    </row>
    <row r="16" customFormat="false" ht="15" hidden="false" customHeight="false" outlineLevel="0" collapsed="false">
      <c r="B16" s="9" t="s">
        <v>84</v>
      </c>
      <c r="C16" s="19" t="n">
        <v>0</v>
      </c>
      <c r="D16" s="14" t="s">
        <v>85</v>
      </c>
    </row>
    <row r="17" customFormat="false" ht="15" hidden="false" customHeight="false" outlineLevel="0" collapsed="false">
      <c r="B17" s="9" t="s">
        <v>86</v>
      </c>
      <c r="C17" s="19" t="n">
        <v>40000</v>
      </c>
      <c r="D17" s="9" t="s">
        <v>87</v>
      </c>
      <c r="E17" s="19" t="n">
        <v>0</v>
      </c>
    </row>
    <row r="18" customFormat="false" ht="15" hidden="false" customHeight="false" outlineLevel="0" collapsed="false">
      <c r="B18" s="9" t="s">
        <v>88</v>
      </c>
      <c r="C18" s="19" t="n">
        <v>0</v>
      </c>
      <c r="D18" s="9" t="s">
        <v>89</v>
      </c>
      <c r="E18" s="19" t="n">
        <v>0</v>
      </c>
    </row>
    <row r="20" customFormat="false" ht="15" hidden="false" customHeight="false" outlineLevel="0" collapsed="false">
      <c r="B20" s="20" t="s">
        <v>90</v>
      </c>
      <c r="C20" s="20"/>
      <c r="D20" s="20"/>
      <c r="E20" s="20"/>
    </row>
    <row r="21" customFormat="false" ht="15" hidden="false" customHeight="false" outlineLevel="0" collapsed="false">
      <c r="B21" s="9" t="s">
        <v>91</v>
      </c>
      <c r="C21" s="18" t="n">
        <v>20000</v>
      </c>
      <c r="D21" s="9" t="s">
        <v>92</v>
      </c>
      <c r="E21" s="16" t="n">
        <v>40</v>
      </c>
    </row>
    <row r="22" customFormat="false" ht="15" hidden="false" customHeight="false" outlineLevel="0" collapsed="false">
      <c r="B22" s="9" t="s">
        <v>93</v>
      </c>
      <c r="C22" s="16" t="n">
        <v>65</v>
      </c>
      <c r="D22" s="9" t="s">
        <v>94</v>
      </c>
      <c r="E22" s="21" t="n">
        <v>0.03</v>
      </c>
    </row>
    <row r="24" customFormat="false" ht="15" hidden="false" customHeight="false" outlineLevel="0" collapsed="false">
      <c r="B24" s="8" t="s">
        <v>95</v>
      </c>
      <c r="C24" s="8"/>
      <c r="D24" s="8"/>
      <c r="E24" s="8"/>
    </row>
    <row r="25" customFormat="false" ht="15" hidden="false" customHeight="false" outlineLevel="0" collapsed="false">
      <c r="B25" s="9" t="s">
        <v>40</v>
      </c>
      <c r="C25" s="18" t="n">
        <v>15000000</v>
      </c>
      <c r="D25" s="9" t="s">
        <v>96</v>
      </c>
      <c r="E25" s="22" t="n">
        <v>25</v>
      </c>
    </row>
    <row r="27" customFormat="false" ht="15" hidden="false" customHeight="false" outlineLevel="0" collapsed="false">
      <c r="B27" s="20" t="s">
        <v>97</v>
      </c>
      <c r="C27" s="20"/>
      <c r="D27" s="20"/>
      <c r="E27" s="20"/>
    </row>
    <row r="28" customFormat="false" ht="15" hidden="false" customHeight="false" outlineLevel="0" collapsed="false">
      <c r="B28" s="9" t="s">
        <v>98</v>
      </c>
      <c r="C28" s="19" t="n">
        <v>3000000</v>
      </c>
      <c r="D28" s="9" t="s">
        <v>99</v>
      </c>
      <c r="E28" s="19" t="n">
        <v>30000</v>
      </c>
    </row>
    <row r="29" customFormat="false" ht="15" hidden="false" customHeight="false" outlineLevel="0" collapsed="false">
      <c r="B29" s="9" t="s">
        <v>100</v>
      </c>
      <c r="C29" s="16" t="n">
        <v>65</v>
      </c>
      <c r="D29" s="9" t="s">
        <v>101</v>
      </c>
      <c r="E29" s="16" t="n">
        <v>25</v>
      </c>
    </row>
  </sheetData>
  <mergeCells count="7">
    <mergeCell ref="B2:E2"/>
    <mergeCell ref="B4:E4"/>
    <mergeCell ref="B11:E11"/>
    <mergeCell ref="B15:E15"/>
    <mergeCell ref="B20:E20"/>
    <mergeCell ref="B24:E24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50"/>
  </cols>
  <sheetData>
    <row r="2" customFormat="false" ht="25.5" hidden="false" customHeight="true" outlineLevel="0" collapsed="false">
      <c r="B2" s="7" t="s">
        <v>102</v>
      </c>
      <c r="C2" s="7"/>
      <c r="D2" s="7"/>
    </row>
    <row r="4" customFormat="false" ht="15" hidden="false" customHeight="false" outlineLevel="0" collapsed="false">
      <c r="B4" s="23" t="s">
        <v>103</v>
      </c>
      <c r="C4" s="23" t="s">
        <v>104</v>
      </c>
      <c r="D4" s="23" t="s">
        <v>105</v>
      </c>
    </row>
    <row r="5" customFormat="false" ht="15" hidden="false" customHeight="false" outlineLevel="0" collapsed="false">
      <c r="B5" s="9" t="s">
        <v>106</v>
      </c>
      <c r="C5" s="24" t="n">
        <f aca="false">'1_ヒアリングシート'!C12</f>
        <v>8000000</v>
      </c>
      <c r="D5" s="25" t="s">
        <v>107</v>
      </c>
    </row>
    <row r="6" customFormat="false" ht="15" hidden="false" customHeight="false" outlineLevel="0" collapsed="false">
      <c r="B6" s="9" t="s">
        <v>80</v>
      </c>
      <c r="C6" s="24" t="n">
        <f aca="false">'1_ヒアリングシート'!E12</f>
        <v>2000000</v>
      </c>
      <c r="D6" s="25" t="s">
        <v>107</v>
      </c>
    </row>
    <row r="7" customFormat="false" ht="15" hidden="false" customHeight="false" outlineLevel="0" collapsed="false">
      <c r="B7" s="9" t="s">
        <v>21</v>
      </c>
      <c r="C7" s="26" t="n">
        <f aca="false">IF('1_ヒアリングシート'!C7="自営業",650000,0)</f>
        <v>650000</v>
      </c>
      <c r="D7" s="25" t="s">
        <v>108</v>
      </c>
    </row>
    <row r="8" customFormat="false" ht="15" hidden="false" customHeight="false" outlineLevel="0" collapsed="false">
      <c r="B8" s="9" t="s">
        <v>109</v>
      </c>
      <c r="C8" s="26" t="n">
        <f aca="false">MAX(0,C5-C6-C7)</f>
        <v>5350000</v>
      </c>
      <c r="D8" s="25" t="s">
        <v>110</v>
      </c>
    </row>
    <row r="9" customFormat="false" ht="15" hidden="false" customHeight="false" outlineLevel="0" collapsed="false">
      <c r="B9" s="9" t="s">
        <v>111</v>
      </c>
      <c r="C9" s="24" t="n">
        <f aca="false">'1_ヒアリングシート'!C13</f>
        <v>0</v>
      </c>
    </row>
    <row r="10" customFormat="false" ht="15" hidden="false" customHeight="false" outlineLevel="0" collapsed="false">
      <c r="B10" s="9" t="s">
        <v>19</v>
      </c>
      <c r="C10" s="26" t="n">
        <f aca="false">IF(C9&lt;=1625000,550000,IF(C9&lt;=1800000,C9*0.4-100000,IF(C9&lt;=3600000,C9*0.3+80000,IF(C9&lt;=6600000,C9*0.2+440000,IF(C9&lt;=8500000,C9*0.1+1100000,1950000)))))</f>
        <v>550000</v>
      </c>
      <c r="D10" s="0" t="s">
        <v>112</v>
      </c>
    </row>
    <row r="11" customFormat="false" ht="15" hidden="false" customHeight="false" outlineLevel="0" collapsed="false">
      <c r="B11" s="9" t="s">
        <v>113</v>
      </c>
      <c r="C11" s="26" t="n">
        <f aca="false">MAX(0,C9-C10)</f>
        <v>0</v>
      </c>
    </row>
    <row r="12" customFormat="false" ht="15" hidden="false" customHeight="false" outlineLevel="0" collapsed="false">
      <c r="B12" s="9" t="s">
        <v>114</v>
      </c>
      <c r="C12" s="26" t="n">
        <f aca="false">C8+C11+'1_ヒアリングシート'!E13</f>
        <v>5350000</v>
      </c>
    </row>
    <row r="14" customFormat="false" ht="15" hidden="false" customHeight="false" outlineLevel="0" collapsed="false">
      <c r="B14" s="23" t="s">
        <v>115</v>
      </c>
    </row>
    <row r="15" customFormat="false" ht="15" hidden="false" customHeight="false" outlineLevel="0" collapsed="false">
      <c r="B15" s="9" t="s">
        <v>116</v>
      </c>
      <c r="C15" s="26" t="n">
        <f aca="false">IF('1_ヒアリングシート'!C7="自営業",17510*12,0)</f>
        <v>210120</v>
      </c>
      <c r="D15" s="25" t="s">
        <v>117</v>
      </c>
    </row>
    <row r="16" customFormat="false" ht="15" hidden="false" customHeight="false" outlineLevel="0" collapsed="false">
      <c r="B16" s="9" t="s">
        <v>118</v>
      </c>
      <c r="C16" s="26" t="n">
        <f aca="false">IF('1_ヒアリングシート'!C7="自営業",MIN(1020000,C12*0.1+50000),0)</f>
        <v>585000</v>
      </c>
      <c r="D16" s="25" t="s">
        <v>119</v>
      </c>
    </row>
    <row r="17" customFormat="false" ht="15" hidden="false" customHeight="false" outlineLevel="0" collapsed="false">
      <c r="B17" s="9" t="s">
        <v>120</v>
      </c>
      <c r="C17" s="26" t="n">
        <f aca="false">IF('1_ヒアリングシート'!C7="会社員",C9*0.15,0)</f>
        <v>0</v>
      </c>
      <c r="D17" s="25" t="s">
        <v>121</v>
      </c>
    </row>
    <row r="18" customFormat="false" ht="15" hidden="false" customHeight="false" outlineLevel="0" collapsed="false">
      <c r="B18" s="17" t="s">
        <v>122</v>
      </c>
      <c r="C18" s="24" t="n">
        <f aca="false">'1_ヒアリングシート'!C21*12</f>
        <v>240000</v>
      </c>
      <c r="D18" s="0" t="s">
        <v>123</v>
      </c>
    </row>
    <row r="19" customFormat="false" ht="15" hidden="false" customHeight="false" outlineLevel="0" collapsed="false">
      <c r="B19" s="9" t="s">
        <v>124</v>
      </c>
      <c r="C19" s="26" t="n">
        <f aca="false">IF('1_ヒアリングシート'!C16&gt;0,'1_ヒアリングシート'!C16,C15+C16+C17)+C18</f>
        <v>1035120</v>
      </c>
      <c r="D19" s="25" t="s">
        <v>125</v>
      </c>
    </row>
    <row r="21" customFormat="false" ht="15" hidden="false" customHeight="false" outlineLevel="0" collapsed="false">
      <c r="B21" s="23" t="s">
        <v>126</v>
      </c>
    </row>
    <row r="22" customFormat="false" ht="15" hidden="false" customHeight="false" outlineLevel="0" collapsed="false">
      <c r="B22" s="9" t="s">
        <v>17</v>
      </c>
      <c r="C22" s="26" t="n">
        <f aca="false">480000</f>
        <v>480000</v>
      </c>
      <c r="D22" s="25" t="s">
        <v>127</v>
      </c>
    </row>
    <row r="23" customFormat="false" ht="15" hidden="false" customHeight="false" outlineLevel="0" collapsed="false">
      <c r="B23" s="9" t="s">
        <v>128</v>
      </c>
      <c r="C23" s="26" t="n">
        <f aca="false">IF('1_ヒアリングシート'!E8="あり",380000,0)</f>
        <v>380000</v>
      </c>
    </row>
    <row r="24" customFormat="false" ht="15" hidden="false" customHeight="false" outlineLevel="0" collapsed="false">
      <c r="B24" s="9" t="s">
        <v>129</v>
      </c>
      <c r="C24" s="26" t="n">
        <f aca="false">('1_ヒアリングシート'!C9-'1_ヒアリングシート'!E9)*380000</f>
        <v>380000</v>
      </c>
      <c r="D24" s="0" t="s">
        <v>130</v>
      </c>
    </row>
    <row r="25" customFormat="false" ht="15" hidden="false" customHeight="false" outlineLevel="0" collapsed="false">
      <c r="B25" s="9" t="s">
        <v>86</v>
      </c>
      <c r="C25" s="24" t="n">
        <f aca="false">'1_ヒアリングシート'!C17</f>
        <v>40000</v>
      </c>
    </row>
    <row r="26" customFormat="false" ht="15" hidden="false" customHeight="false" outlineLevel="0" collapsed="false">
      <c r="B26" s="9" t="s">
        <v>87</v>
      </c>
      <c r="C26" s="24" t="n">
        <f aca="false">'1_ヒアリングシート'!E17</f>
        <v>0</v>
      </c>
    </row>
    <row r="27" customFormat="false" ht="15" hidden="false" customHeight="false" outlineLevel="0" collapsed="false">
      <c r="B27" s="9" t="s">
        <v>131</v>
      </c>
      <c r="C27" s="24" t="n">
        <f aca="false">'1_ヒアリングシート'!C18</f>
        <v>0</v>
      </c>
    </row>
    <row r="28" customFormat="false" ht="15" hidden="false" customHeight="false" outlineLevel="0" collapsed="false">
      <c r="B28" s="9" t="s">
        <v>132</v>
      </c>
      <c r="C28" s="24" t="n">
        <f aca="false">'1_ヒアリングシート'!E18</f>
        <v>0</v>
      </c>
    </row>
    <row r="29" customFormat="false" ht="15" hidden="false" customHeight="false" outlineLevel="0" collapsed="false">
      <c r="B29" s="9" t="s">
        <v>133</v>
      </c>
      <c r="C29" s="26" t="n">
        <f aca="false">C19+C22+C23+C24+C25+C26+C27+C28</f>
        <v>2315120</v>
      </c>
    </row>
    <row r="31" customFormat="false" ht="15" hidden="false" customHeight="false" outlineLevel="0" collapsed="false">
      <c r="B31" s="23" t="s">
        <v>134</v>
      </c>
    </row>
    <row r="32" customFormat="false" ht="15" hidden="false" customHeight="false" outlineLevel="0" collapsed="false">
      <c r="B32" s="9" t="s">
        <v>135</v>
      </c>
      <c r="C32" s="26" t="n">
        <f aca="false">MAX(0,C12-C29)</f>
        <v>3034880</v>
      </c>
    </row>
    <row r="33" customFormat="false" ht="15" hidden="false" customHeight="false" outlineLevel="0" collapsed="false">
      <c r="B33" s="9" t="s">
        <v>136</v>
      </c>
      <c r="C33" s="26" t="n">
        <f aca="false">IF(C32&lt;=1950000,C32*0.05,IF(C32&lt;=3300000,C32*0.1-97500,IF(C32&lt;=6950000,C32*0.2-427500,IF(C32&lt;=9000000,C32*0.23-636000,IF(C32&lt;=18000000,C32*0.33-1536000,IF(C32&lt;=40000000,C32*0.4-2796000,C32*0.45-4796000))))))</f>
        <v>205988</v>
      </c>
      <c r="D33" s="25" t="s">
        <v>137</v>
      </c>
    </row>
    <row r="34" customFormat="false" ht="15" hidden="false" customHeight="false" outlineLevel="0" collapsed="false">
      <c r="B34" s="9" t="s">
        <v>138</v>
      </c>
      <c r="C34" s="26" t="n">
        <f aca="false">ROUND(C33*0.021,0)</f>
        <v>4326</v>
      </c>
    </row>
    <row r="35" customFormat="false" ht="15" hidden="false" customHeight="false" outlineLevel="0" collapsed="false">
      <c r="B35" s="9" t="s">
        <v>139</v>
      </c>
      <c r="C35" s="26" t="n">
        <f aca="false">MAX(0,C12-(C29-50000))*0.1+5000</f>
        <v>313488</v>
      </c>
      <c r="D35" s="25" t="s">
        <v>140</v>
      </c>
    </row>
    <row r="36" customFormat="false" ht="15" hidden="false" customHeight="false" outlineLevel="0" collapsed="false">
      <c r="B36" s="9" t="s">
        <v>141</v>
      </c>
      <c r="C36" s="27" t="n">
        <f aca="false">C33+C34+C35+C19</f>
        <v>1558922</v>
      </c>
    </row>
    <row r="37" customFormat="false" ht="15" hidden="false" customHeight="false" outlineLevel="0" collapsed="false">
      <c r="B37" s="9" t="s">
        <v>142</v>
      </c>
      <c r="C37" s="28" t="n">
        <f aca="false">C5+C9-C6-C36</f>
        <v>4441078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8"/>
    <col collapsed="false" customWidth="true" hidden="false" outlineLevel="0" max="7" min="7" style="0" width="35"/>
  </cols>
  <sheetData>
    <row r="2" customFormat="false" ht="25.5" hidden="false" customHeight="true" outlineLevel="0" collapsed="false">
      <c r="B2" s="1" t="s">
        <v>143</v>
      </c>
      <c r="C2" s="1"/>
      <c r="D2" s="1"/>
      <c r="E2" s="1"/>
      <c r="F2" s="1"/>
    </row>
    <row r="4" customFormat="false" ht="15" hidden="false" customHeight="false" outlineLevel="0" collapsed="false">
      <c r="B4" s="23" t="s">
        <v>144</v>
      </c>
    </row>
    <row r="5" customFormat="false" ht="15" hidden="false" customHeight="false" outlineLevel="0" collapsed="false">
      <c r="B5" s="9" t="s">
        <v>145</v>
      </c>
      <c r="C5" s="24" t="n">
        <f aca="false">'1_ヒアリングシート'!C21</f>
        <v>20000</v>
      </c>
    </row>
    <row r="6" customFormat="false" ht="15" hidden="false" customHeight="false" outlineLevel="0" collapsed="false">
      <c r="B6" s="9" t="s">
        <v>146</v>
      </c>
      <c r="C6" s="26" t="n">
        <f aca="false">IF('1_ヒアリングシート'!C7="自営業",68000,23000)</f>
        <v>68000</v>
      </c>
    </row>
    <row r="7" customFormat="false" ht="15" hidden="false" customHeight="false" outlineLevel="0" collapsed="false">
      <c r="B7" s="9" t="s">
        <v>147</v>
      </c>
      <c r="C7" s="13" t="n">
        <f aca="false">'1_ヒアリングシート'!C22-'1_ヒアリングシート'!E21</f>
        <v>25</v>
      </c>
    </row>
    <row r="8" customFormat="false" ht="15" hidden="false" customHeight="false" outlineLevel="0" collapsed="false">
      <c r="B8" s="9" t="s">
        <v>148</v>
      </c>
      <c r="C8" s="29" t="n">
        <f aca="false">'1_ヒアリングシート'!E22</f>
        <v>0.03</v>
      </c>
    </row>
    <row r="9" customFormat="false" ht="15" hidden="false" customHeight="false" outlineLevel="0" collapsed="false">
      <c r="B9" s="9" t="s">
        <v>149</v>
      </c>
      <c r="C9" s="29" t="n">
        <f aca="false">IF('2_所得税住民税'!C32&lt;=1950000,0.15,IF('2_所得税住民税'!C32&lt;=3300000,0.2,IF('2_所得税住民税'!C32&lt;=6950000,0.3,IF('2_所得税住民税'!C32&lt;=9000000,0.33,IF('2_所得税住民税'!C32&lt;=18000000,0.43,IF('2_所得税住民税'!C32&lt;=40000000,0.5,0.55))))))</f>
        <v>0.2</v>
      </c>
      <c r="D9" s="25" t="s">
        <v>150</v>
      </c>
    </row>
    <row r="11" customFormat="false" ht="15" hidden="false" customHeight="false" outlineLevel="0" collapsed="false">
      <c r="B11" s="8" t="s">
        <v>151</v>
      </c>
      <c r="C11" s="8"/>
      <c r="D11" s="8"/>
      <c r="E11" s="8"/>
      <c r="F11" s="8"/>
    </row>
    <row r="12" customFormat="false" ht="15" hidden="false" customHeight="false" outlineLevel="0" collapsed="false">
      <c r="B12" s="23" t="s">
        <v>152</v>
      </c>
      <c r="C12" s="23" t="s">
        <v>153</v>
      </c>
      <c r="D12" s="23" t="s">
        <v>154</v>
      </c>
      <c r="E12" s="23" t="s">
        <v>155</v>
      </c>
      <c r="F12" s="23" t="s">
        <v>156</v>
      </c>
    </row>
    <row r="13" customFormat="false" ht="15" hidden="false" customHeight="false" outlineLevel="0" collapsed="false">
      <c r="B13" s="9" t="s">
        <v>157</v>
      </c>
      <c r="C13" s="26" t="n">
        <f aca="false">C5</f>
        <v>20000</v>
      </c>
      <c r="D13" s="26" t="n">
        <f aca="false">C13*12*C9</f>
        <v>48000</v>
      </c>
      <c r="E13" s="26" t="n">
        <f aca="false">C13*12*C7</f>
        <v>6000000</v>
      </c>
      <c r="F13" s="26" t="n">
        <f aca="false">IF(C8=0,E13,C13*12*((1+C8)^C7-1)/C8)</f>
        <v>8750223.43723373</v>
      </c>
    </row>
    <row r="14" customFormat="false" ht="15" hidden="false" customHeight="false" outlineLevel="0" collapsed="false">
      <c r="B14" s="9" t="s">
        <v>158</v>
      </c>
      <c r="C14" s="26" t="n">
        <f aca="false">C6</f>
        <v>68000</v>
      </c>
      <c r="D14" s="26" t="n">
        <f aca="false">C14*12*C9</f>
        <v>163200</v>
      </c>
      <c r="E14" s="26" t="n">
        <f aca="false">C14*12*C7</f>
        <v>20400000</v>
      </c>
      <c r="F14" s="26" t="n">
        <f aca="false">IF(C8=0,E14,C14*12*((1+C8)^C7-1)/C8)</f>
        <v>29750759.6865947</v>
      </c>
    </row>
    <row r="15" customFormat="false" ht="15" hidden="false" customHeight="false" outlineLevel="0" collapsed="false">
      <c r="B15" s="9" t="s">
        <v>159</v>
      </c>
      <c r="C15" s="26" t="n">
        <f aca="false">C6/2</f>
        <v>34000</v>
      </c>
      <c r="D15" s="26" t="n">
        <f aca="false">C15*12*C9</f>
        <v>81600</v>
      </c>
      <c r="E15" s="26" t="n">
        <f aca="false">C15*12*C7</f>
        <v>10200000</v>
      </c>
      <c r="F15" s="26" t="n">
        <f aca="false">IF(C8=0,E15,C15*12*((1+C8)^C7-1)/C8)</f>
        <v>14875379.8432973</v>
      </c>
    </row>
    <row r="17" customFormat="false" ht="15" hidden="false" customHeight="false" outlineLevel="0" collapsed="false">
      <c r="B17" s="23" t="s">
        <v>160</v>
      </c>
    </row>
    <row r="18" customFormat="false" ht="15" hidden="false" customHeight="true" outlineLevel="0" collapsed="false">
      <c r="B18" s="30" t="s">
        <v>161</v>
      </c>
      <c r="C18" s="30"/>
      <c r="D18" s="30"/>
      <c r="E18" s="30"/>
      <c r="F18" s="30"/>
    </row>
    <row r="19" customFormat="false" ht="15" hidden="false" customHeight="true" outlineLevel="0" collapsed="false">
      <c r="B19" s="30" t="s">
        <v>162</v>
      </c>
      <c r="C19" s="30"/>
      <c r="D19" s="30"/>
      <c r="E19" s="30"/>
      <c r="F19" s="30"/>
    </row>
  </sheetData>
  <mergeCells count="4">
    <mergeCell ref="B2:F2"/>
    <mergeCell ref="B11:F11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22"/>
    <col collapsed="false" customWidth="true" hidden="false" outlineLevel="0" max="5" min="5" style="0" width="40"/>
  </cols>
  <sheetData>
    <row r="2" customFormat="false" ht="25.5" hidden="false" customHeight="true" outlineLevel="0" collapsed="false">
      <c r="B2" s="7" t="s">
        <v>163</v>
      </c>
      <c r="C2" s="7"/>
      <c r="D2" s="7"/>
    </row>
    <row r="4" customFormat="false" ht="15" hidden="false" customHeight="false" outlineLevel="0" collapsed="false">
      <c r="B4" s="9" t="s">
        <v>40</v>
      </c>
      <c r="C4" s="24" t="n">
        <f aca="false">'1_ヒアリングシート'!C25</f>
        <v>15000000</v>
      </c>
    </row>
    <row r="5" customFormat="false" ht="15" hidden="false" customHeight="false" outlineLevel="0" collapsed="false">
      <c r="B5" s="9" t="s">
        <v>96</v>
      </c>
      <c r="C5" s="31" t="n">
        <f aca="false">'1_ヒアリングシート'!E25</f>
        <v>25</v>
      </c>
    </row>
    <row r="6" customFormat="false" ht="15" hidden="false" customHeight="false" outlineLevel="0" collapsed="false">
      <c r="B6" s="9" t="s">
        <v>29</v>
      </c>
      <c r="C6" s="26" t="n">
        <f aca="false">IF(C5&lt;=20,400000*C5,8000000+700000*(C5-20))</f>
        <v>11500000</v>
      </c>
      <c r="D6" s="0" t="s">
        <v>164</v>
      </c>
    </row>
    <row r="7" customFormat="false" ht="15" hidden="false" customHeight="false" outlineLevel="0" collapsed="false">
      <c r="B7" s="9" t="s">
        <v>165</v>
      </c>
      <c r="C7" s="26" t="n">
        <f aca="false">MAX(0,(C4-C6)/2)</f>
        <v>1750000</v>
      </c>
      <c r="D7" s="0" t="s">
        <v>166</v>
      </c>
    </row>
    <row r="8" customFormat="false" ht="15" hidden="false" customHeight="false" outlineLevel="0" collapsed="false">
      <c r="B8" s="9" t="s">
        <v>167</v>
      </c>
      <c r="C8" s="26" t="n">
        <f aca="false">IF(C7&lt;=1950000,C7*0.05,IF(C7&lt;=3300000,C7*0.1-97500,IF(C7&lt;=6950000,C7*0.2-427500,IF(C7&lt;=9000000,C7*0.23-636000,IF(C7&lt;=18000000,C7*0.33-1536000,IF(C7&lt;=40000000,C7*0.4-2796000,C7*0.45-4796000))))))</f>
        <v>87500</v>
      </c>
    </row>
    <row r="9" customFormat="false" ht="15" hidden="false" customHeight="false" outlineLevel="0" collapsed="false">
      <c r="B9" s="9" t="s">
        <v>168</v>
      </c>
      <c r="C9" s="26" t="n">
        <f aca="false">C7*0.1</f>
        <v>175000</v>
      </c>
    </row>
    <row r="10" customFormat="false" ht="15" hidden="false" customHeight="false" outlineLevel="0" collapsed="false">
      <c r="B10" s="9" t="s">
        <v>169</v>
      </c>
      <c r="C10" s="28" t="n">
        <f aca="false">C4-C8-C9</f>
        <v>14737500</v>
      </c>
    </row>
    <row r="12" customFormat="false" ht="15" hidden="false" customHeight="false" outlineLevel="0" collapsed="false">
      <c r="B12" s="23" t="s">
        <v>170</v>
      </c>
    </row>
    <row r="13" customFormat="false" ht="15" hidden="false" customHeight="false" outlineLevel="0" collapsed="false">
      <c r="B13" s="9" t="s">
        <v>171</v>
      </c>
      <c r="C13" s="26" t="n">
        <f aca="false">C4/10</f>
        <v>1500000</v>
      </c>
    </row>
    <row r="14" customFormat="false" ht="15" hidden="false" customHeight="false" outlineLevel="0" collapsed="false">
      <c r="B14" s="9" t="s">
        <v>172</v>
      </c>
      <c r="C14" s="26" t="n">
        <f aca="false">1100000</f>
        <v>1100000</v>
      </c>
      <c r="D14" s="0" t="s">
        <v>173</v>
      </c>
    </row>
    <row r="15" customFormat="false" ht="15" hidden="false" customHeight="false" outlineLevel="0" collapsed="false">
      <c r="B15" s="9" t="s">
        <v>174</v>
      </c>
      <c r="C15" s="26" t="n">
        <f aca="false">MAX(0,C13-C14)</f>
        <v>400000</v>
      </c>
    </row>
    <row r="16" customFormat="false" ht="14.9" hidden="false" customHeight="false" outlineLevel="0" collapsed="false">
      <c r="B16" s="9" t="s">
        <v>175</v>
      </c>
      <c r="C16" s="26" t="n">
        <f aca="false">C15*0.15</f>
        <v>60000</v>
      </c>
      <c r="D16" s="25" t="s">
        <v>176</v>
      </c>
    </row>
    <row r="17" customFormat="false" ht="15" hidden="false" customHeight="false" outlineLevel="0" collapsed="false">
      <c r="B17" s="9" t="s">
        <v>177</v>
      </c>
      <c r="C17" s="28" t="n">
        <f aca="false">C4-C16*10</f>
        <v>14400000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0"/>
  </cols>
  <sheetData>
    <row r="2" customFormat="false" ht="25.5" hidden="false" customHeight="true" outlineLevel="0" collapsed="false">
      <c r="B2" s="7" t="s">
        <v>178</v>
      </c>
      <c r="C2" s="7"/>
      <c r="D2" s="7"/>
    </row>
    <row r="4" customFormat="false" ht="15" hidden="false" customHeight="false" outlineLevel="0" collapsed="false">
      <c r="B4" s="9" t="s">
        <v>135</v>
      </c>
      <c r="C4" s="24" t="n">
        <f aca="false">'2_所得税住民税'!C32</f>
        <v>3034880</v>
      </c>
    </row>
    <row r="5" customFormat="false" ht="15" hidden="false" customHeight="false" outlineLevel="0" collapsed="false">
      <c r="B5" s="9" t="s">
        <v>179</v>
      </c>
      <c r="C5" s="26" t="n">
        <f aca="false">C4*0.1</f>
        <v>303488</v>
      </c>
      <c r="D5" s="25" t="s">
        <v>180</v>
      </c>
    </row>
    <row r="6" customFormat="false" ht="15" hidden="false" customHeight="false" outlineLevel="0" collapsed="false">
      <c r="B6" s="9" t="s">
        <v>181</v>
      </c>
      <c r="C6" s="32" t="n">
        <f aca="false">IF(C4&lt;=1950000,0.05,IF(C4&lt;=3300000,0.1,IF(C4&lt;=6950000,0.2,IF(C4&lt;=9000000,0.23,IF(C4&lt;=18000000,0.33,IF(C4&lt;=40000000,0.4,0.45))))))</f>
        <v>0.1</v>
      </c>
    </row>
    <row r="7" customFormat="false" ht="15" hidden="false" customHeight="false" outlineLevel="0" collapsed="false">
      <c r="B7" s="9" t="s">
        <v>182</v>
      </c>
      <c r="C7" s="27" t="n">
        <f aca="false">ROUNDDOWN(C5*0.2/(0.9-C6*1.021)+2000,0)</f>
        <v>78071</v>
      </c>
      <c r="D7" s="25" t="s">
        <v>183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40"/>
  </cols>
  <sheetData>
    <row r="2" customFormat="false" ht="25.5" hidden="false" customHeight="true" outlineLevel="0" collapsed="false">
      <c r="B2" s="1" t="s">
        <v>184</v>
      </c>
      <c r="C2" s="1"/>
      <c r="D2" s="1"/>
    </row>
    <row r="4" customFormat="false" ht="15" hidden="false" customHeight="false" outlineLevel="0" collapsed="false">
      <c r="B4" s="9" t="s">
        <v>185</v>
      </c>
      <c r="C4" s="24" t="n">
        <f aca="false">'1_ヒアリングシート'!C28</f>
        <v>3000000</v>
      </c>
    </row>
    <row r="5" customFormat="false" ht="15" hidden="false" customHeight="false" outlineLevel="0" collapsed="false">
      <c r="B5" s="9" t="s">
        <v>99</v>
      </c>
      <c r="C5" s="24" t="n">
        <f aca="false">'1_ヒアリングシート'!E28</f>
        <v>30000</v>
      </c>
    </row>
    <row r="6" customFormat="false" ht="15" hidden="false" customHeight="false" outlineLevel="0" collapsed="false">
      <c r="B6" s="9" t="s">
        <v>186</v>
      </c>
      <c r="C6" s="31" t="n">
        <f aca="false">'1_ヒアリングシート'!E6</f>
        <v>45</v>
      </c>
    </row>
    <row r="7" customFormat="false" ht="15" hidden="false" customHeight="false" outlineLevel="0" collapsed="false">
      <c r="B7" s="9" t="s">
        <v>100</v>
      </c>
      <c r="C7" s="31" t="n">
        <f aca="false">'1_ヒアリングシート'!C29</f>
        <v>65</v>
      </c>
    </row>
    <row r="8" customFormat="false" ht="15" hidden="false" customHeight="false" outlineLevel="0" collapsed="false">
      <c r="B8" s="9" t="s">
        <v>101</v>
      </c>
      <c r="C8" s="31" t="n">
        <f aca="false">'1_ヒアリングシート'!E29</f>
        <v>25</v>
      </c>
    </row>
    <row r="9" customFormat="false" ht="15" hidden="false" customHeight="false" outlineLevel="0" collapsed="false">
      <c r="B9" s="9" t="s">
        <v>94</v>
      </c>
      <c r="C9" s="21" t="n">
        <v>0.03</v>
      </c>
    </row>
    <row r="10" customFormat="false" ht="15" hidden="false" customHeight="false" outlineLevel="0" collapsed="false">
      <c r="B10" s="9" t="s">
        <v>187</v>
      </c>
      <c r="C10" s="13" t="n">
        <f aca="false">MAX(0,C7-C6)</f>
        <v>20</v>
      </c>
    </row>
    <row r="11" customFormat="false" ht="15" hidden="false" customHeight="false" outlineLevel="0" collapsed="false">
      <c r="B11" s="9" t="s">
        <v>188</v>
      </c>
      <c r="C11" s="28" t="n">
        <f aca="false">C4*(1+C9)^C10 + IF(C9=0,C5*12*C10,C5*12*((1+C9)^C10-1)/C9)</f>
        <v>15091668.5200412</v>
      </c>
    </row>
    <row r="12" customFormat="false" ht="15" hidden="false" customHeight="false" outlineLevel="0" collapsed="false">
      <c r="B12" s="9" t="s">
        <v>189</v>
      </c>
      <c r="C12" s="26" t="n">
        <f aca="false">IF(C9=0,C11/C8,C11*C9/(1-(1+C9)^(-C8)))</f>
        <v>866682.393534192</v>
      </c>
      <c r="D12" s="25" t="s">
        <v>190</v>
      </c>
    </row>
    <row r="13" customFormat="false" ht="15" hidden="false" customHeight="false" outlineLevel="0" collapsed="false">
      <c r="B13" s="9" t="s">
        <v>191</v>
      </c>
      <c r="C13" s="26" t="n">
        <f aca="false">C11*0.04</f>
        <v>603666.740801649</v>
      </c>
      <c r="D13" s="0" t="s">
        <v>192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5"/>
  </cols>
  <sheetData>
    <row r="2" customFormat="false" ht="25.5" hidden="false" customHeight="true" outlineLevel="0" collapsed="false">
      <c r="B2" s="7" t="s">
        <v>193</v>
      </c>
      <c r="C2" s="7"/>
    </row>
    <row r="4" customFormat="false" ht="15" hidden="false" customHeight="false" outlineLevel="0" collapsed="false">
      <c r="B4" s="9" t="s">
        <v>194</v>
      </c>
      <c r="C4" s="33" t="str">
        <f aca="false">'1_ヒアリングシート'!C5</f>
        <v>山田 太郎</v>
      </c>
    </row>
    <row r="5" customFormat="false" ht="15" hidden="false" customHeight="false" outlineLevel="0" collapsed="false">
      <c r="B5" s="9" t="s">
        <v>195</v>
      </c>
      <c r="C5" s="31" t="n">
        <f aca="false">'1_ヒアリングシート'!E6</f>
        <v>45</v>
      </c>
    </row>
    <row r="6" customFormat="false" ht="15" hidden="false" customHeight="false" outlineLevel="0" collapsed="false">
      <c r="B6" s="9" t="s">
        <v>196</v>
      </c>
      <c r="C6" s="33" t="str">
        <f aca="false">'1_ヒアリングシート'!C7</f>
        <v>自営業</v>
      </c>
    </row>
    <row r="8" customFormat="false" ht="15" hidden="false" customHeight="false" outlineLevel="0" collapsed="false">
      <c r="B8" s="23" t="s">
        <v>197</v>
      </c>
      <c r="C8" s="26" t="n">
        <f aca="false">'1_ヒアリングシート'!C12+'1_ヒアリングシート'!C13</f>
        <v>8000000</v>
      </c>
    </row>
    <row r="9" customFormat="false" ht="15" hidden="false" customHeight="false" outlineLevel="0" collapsed="false">
      <c r="B9" s="23" t="s">
        <v>141</v>
      </c>
      <c r="C9" s="24" t="n">
        <f aca="false">'2_所得税住民税'!C36</f>
        <v>1558922</v>
      </c>
    </row>
    <row r="10" customFormat="false" ht="15" hidden="false" customHeight="false" outlineLevel="0" collapsed="false">
      <c r="B10" s="23" t="s">
        <v>198</v>
      </c>
      <c r="C10" s="34" t="n">
        <f aca="false">'2_所得税住民税'!C37</f>
        <v>4441078</v>
      </c>
    </row>
    <row r="12" customFormat="false" ht="15" hidden="false" customHeight="false" outlineLevel="0" collapsed="false">
      <c r="B12" s="35" t="s">
        <v>199</v>
      </c>
      <c r="C12" s="24" t="n">
        <f aca="false">'3_iDeCo'!D14</f>
        <v>163200</v>
      </c>
    </row>
    <row r="13" customFormat="false" ht="15" hidden="false" customHeight="false" outlineLevel="0" collapsed="false">
      <c r="B13" s="23" t="s">
        <v>182</v>
      </c>
      <c r="C13" s="24" t="n">
        <f aca="false">'5_ふるさと納税'!C7</f>
        <v>78071</v>
      </c>
    </row>
    <row r="14" customFormat="false" ht="15" hidden="false" customHeight="false" outlineLevel="0" collapsed="false">
      <c r="B14" s="23" t="s">
        <v>200</v>
      </c>
      <c r="C14" s="24" t="n">
        <f aca="false">'4_退職金'!C10</f>
        <v>14737500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2026-04-07T12:39:25Z</dcterms:created>
  <dc:creator>openpyxl</dc:creator>
  <dc:description/>
  <dc:language>en-US</dc:language>
  <cp:lastModifiedBy/>
  <dcterms:modified xsi:type="dcterms:W3CDTF">2026-04-07T12:39:25Z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